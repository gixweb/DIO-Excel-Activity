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\Downloads\"/>
    </mc:Choice>
  </mc:AlternateContent>
  <xr:revisionPtr revIDLastSave="0" documentId="8_{E9AAB599-FF8C-47D9-A6D1-76F983B3C815}" xr6:coauthVersionLast="47" xr6:coauthVersionMax="47" xr10:uidLastSave="{00000000-0000-0000-0000-000000000000}"/>
  <bookViews>
    <workbookView xWindow="-108" yWindow="-108" windowWidth="23256" windowHeight="13176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6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18" i="3"/>
</calcChain>
</file>

<file path=xl/sharedStrings.xml><?xml version="1.0" encoding="utf-8"?>
<sst xmlns="http://schemas.openxmlformats.org/spreadsheetml/2006/main" count="2512" uniqueCount="324">
  <si>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</si>
  <si>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</si>
  <si>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</si>
  <si>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</si>
  <si>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</si>
  <si>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</si>
  <si>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</si>
  <si>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</si>
  <si>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</si>
  <si>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</si>
  <si>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</si>
  <si>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</si>
  <si>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</si>
  <si>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</si>
  <si>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</si>
  <si>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</si>
  <si>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</si>
  <si>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</si>
  <si>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</si>
  <si>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</si>
  <si>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</si>
  <si>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</si>
  <si>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</si>
  <si>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</si>
  <si>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</si>
  <si>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</si>
  <si>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</si>
  <si>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</si>
  <si>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</si>
  <si>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</si>
  <si>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</si>
  <si>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</si>
  <si>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</si>
  <si>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</si>
  <si>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</si>
  <si>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</si>
  <si>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</si>
  <si>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</si>
  <si>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</si>
  <si>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</si>
  <si>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</si>
  <si>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</si>
  <si>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</si>
  <si>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</si>
  <si>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</si>
  <si>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</si>
  <si>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</si>
  <si>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</si>
  <si>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</si>
  <si>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</si>
  <si>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</si>
  <si>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</si>
  <si>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</si>
  <si>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</si>
  <si>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</si>
  <si>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</si>
  <si>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</si>
  <si>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</si>
  <si>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</si>
  <si>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</si>
  <si>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</si>
  <si>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</si>
  <si>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</si>
  <si>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</si>
  <si>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</si>
  <si>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</si>
  <si>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</si>
  <si>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</si>
  <si>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</si>
  <si>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</si>
  <si>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</si>
  <si>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</si>
  <si>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</si>
  <si>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</si>
  <si>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</si>
  <si>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</si>
  <si>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</si>
  <si>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</si>
  <si>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</si>
  <si>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</si>
  <si>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</si>
  <si>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</si>
  <si>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</si>
  <si>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</si>
  <si>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</si>
  <si>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</si>
  <si>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</si>
  <si>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</si>
  <si>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</si>
  <si>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</si>
  <si>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</si>
  <si>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</si>
  <si>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</si>
  <si>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</si>
  <si>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</si>
  <si>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</si>
  <si>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</si>
  <si>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</si>
  <si>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</si>
  <si>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</si>
  <si>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</si>
  <si>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</si>
  <si>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</si>
  <si>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</si>
  <si>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</si>
  <si>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</si>
  <si>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</si>
  <si>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</si>
  <si>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</si>
  <si>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</si>
  <si>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</si>
  <si>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</si>
  <si>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</si>
  <si>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</si>
  <si>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</si>
  <si>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</si>
  <si>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</si>
  <si>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</si>
  <si>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</si>
  <si>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</si>
  <si>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</si>
  <si>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</si>
  <si>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</si>
  <si>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</si>
  <si>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</si>
  <si>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</si>
  <si>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</si>
  <si>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</si>
  <si>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</si>
  <si>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</si>
  <si>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</si>
  <si>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</si>
  <si>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</si>
  <si>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</si>
  <si>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</si>
  <si>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</si>
  <si>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</si>
  <si>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</si>
  <si>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</si>
  <si>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</si>
  <si>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</si>
  <si>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</si>
  <si>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</si>
  <si>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</si>
  <si>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</si>
  <si>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</si>
  <si>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</si>
  <si>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</si>
  <si>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</si>
  <si>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</si>
  <si>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</si>
  <si>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</si>
  <si>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</si>
  <si>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</si>
  <si>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</si>
  <si>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</si>
  <si>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</si>
  <si>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</si>
  <si>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</si>
  <si>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</si>
  <si>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</si>
  <si>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</si>
  <si>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</si>
  <si>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</si>
  <si>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</si>
  <si>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</si>
  <si>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</si>
  <si>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</si>
  <si>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</si>
  <si>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</si>
  <si>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</si>
  <si>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</si>
  <si>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</si>
  <si>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</si>
  <si>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</si>
  <si>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</si>
  <si>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</si>
  <si>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</si>
  <si>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</si>
  <si>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</si>
  <si>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</si>
  <si>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</si>
  <si>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</si>
  <si>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</si>
  <si>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</si>
  <si>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</si>
  <si>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</si>
  <si>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</si>
  <si>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</si>
  <si>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</si>
  <si>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</si>
  <si>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</si>
  <si>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</si>
  <si>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</si>
  <si>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</si>
  <si>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</si>
  <si>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</si>
  <si>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</si>
  <si>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</si>
  <si>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</si>
  <si>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</si>
  <si>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</si>
  <si>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</si>
  <si>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</si>
  <si>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</si>
  <si>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</si>
  <si>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</si>
  <si>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</si>
  <si>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</si>
  <si>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</si>
  <si>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</si>
  <si>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</si>
  <si>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</si>
  <si>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</si>
  <si>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</si>
  <si>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</si>
  <si>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</si>
  <si>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</si>
  <si>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</si>
  <si>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</si>
  <si>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</si>
  <si>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</si>
  <si>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</si>
  <si>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</si>
  <si>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</si>
  <si>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</si>
  <si>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</si>
  <si>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</si>
  <si>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</si>
  <si>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</si>
  <si>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</si>
  <si>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</si>
  <si>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</si>
  <si>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</si>
  <si>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</si>
  <si>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</si>
  <si>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</si>
  <si>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</si>
  <si>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</si>
  <si>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</si>
  <si>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</si>
  <si>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</si>
  <si>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</si>
  <si>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</si>
  <si>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</si>
  <si>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</si>
  <si>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</si>
  <si>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</si>
  <si>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</si>
  <si>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</si>
  <si>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</si>
  <si>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</si>
  <si>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</si>
  <si>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</si>
  <si>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</si>
  <si>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</si>
  <si>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</si>
  <si>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</si>
  <si>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</si>
  <si>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</si>
  <si>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</si>
  <si>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</si>
  <si>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</si>
  <si>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</si>
  <si>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</si>
  <si>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</si>
  <si>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</si>
  <si>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</si>
  <si>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</si>
  <si>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</si>
  <si>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</si>
  <si>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</si>
  <si>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</si>
  <si>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</si>
  <si>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</si>
  <si>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</si>
  <si>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</si>
  <si>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</si>
  <si>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</si>
  <si>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</si>
  <si>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</si>
  <si>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</si>
  <si>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</si>
  <si>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</si>
  <si>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</si>
  <si>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</si>
  <si>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</si>
  <si>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</si>
  <si>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</si>
  <si>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</si>
  <si>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</si>
  <si>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</si>
  <si>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</si>
  <si>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</si>
  <si>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</si>
  <si>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</si>
  <si>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</si>
  <si>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</si>
  <si>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</si>
  <si>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</si>
  <si>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</si>
  <si>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</si>
  <si>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</si>
  <si>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</si>
  <si>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</si>
  <si>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</si>
  <si>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</si>
  <si>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</si>
  <si>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</si>
  <si>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</si>
  <si>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</si>
  <si>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</si>
  <si>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</si>
  <si>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 a serem respondidas:</t>
  </si>
  <si>
    <t>2. Qual faturamento total de vendas de planos anuais (separando por "auto renovação" e "não é auto renovação")</t>
  </si>
  <si>
    <r>
      <t xml:space="preserve">1. Qual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>? (contendo todas as assinaturas agregadas)</t>
    </r>
  </si>
  <si>
    <t>Soma de Total Value</t>
  </si>
  <si>
    <t>Rótulos de Linha</t>
  </si>
  <si>
    <t>Total Geral</t>
  </si>
  <si>
    <t>Xbox game pass subscriptions sales</t>
  </si>
  <si>
    <t>Soma de EA Play Season Pass</t>
  </si>
  <si>
    <t>Detalhes do Soma de EA Play Season Pass - Subscription Type: Annual</t>
  </si>
  <si>
    <t>Soma de Minecraft Season Pass Price</t>
  </si>
  <si>
    <t>Dados: 01/01/25 - 01/01/26 Atualização: 04/01/26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</si>
</sst>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3" fillId="0" borderId="0" xfId="0" applyNumberFormat="1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0" fontId="1" fillId="0" borderId="2" xfId="1" applyBorder="1"/>
    <xf numFmtId="1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0" fillId="9" borderId="0" xfId="0" applyFill="1"/>
    <xf numFmtId="0" fontId="4" fillId="0" borderId="2" xfId="1" applyFont="1" applyBorder="1"/>
    <xf numFmtId="0" fontId="5" fillId="7" borderId="0" xfId="0" applyFont="1" applyFill="1"/>
    <xf numFmtId="0" fontId="4" fillId="0" borderId="0" xfId="1" applyFont="1" applyBorder="1"/>
  </cellXfs>
  <cellStyles count="3">
    <cellStyle name="Moeda" xfId="2" builtinId="4"/>
    <cellStyle name="Normal" xfId="0" builtinId="0"/>
    <cellStyle name="Título 1" xfId="1" builtinId="16"/>
  </cellStyles>
  <dxfs count="22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  <name val="Aptos Narrow"/>
        <family val="2"/>
        <scheme val="minor"/>
      </font>
    </dxf>
    <dxf>
      <font>
        <b/>
        <i val="0"/>
        <sz val="1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4" xr9:uid="{40DC2B12-177A-42BE-B279-1B1AD18AAED4}">
      <tableStyleElement type="wholeTable" dxfId="21"/>
      <tableStyleElement type="headerRow" dxfId="20"/>
    </tableStyle>
  </tableStyles>
  <colors>
    <mruColors>
      <color rgb="FF22C55E"/>
      <color rgb="FFE8E6E9"/>
      <color rgb="FFE0E0E0"/>
      <color rgb="FF5BF6A8"/>
      <color rgb="FFF7F8FC"/>
      <color rgb="FF9D9D9D"/>
      <color rgb="FF9BC848"/>
      <color rgb="FF000000"/>
      <color rgb="FFEDEDED"/>
      <color rgb="FF2AE6B1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[Dashboard_Xbox_DIO.xlsx]C̳álculos!Tabela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>
            <a:softEdge rad="12700"/>
          </a:effectLst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>
            <a:softEdge rad="12700"/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>
            <a:softEdge rad="12700"/>
          </a:effectLst>
        </c:spPr>
      </c:pivotFmt>
    </c:pivotFmts>
    <c:plotArea>
      <c:layout>
        <c:manualLayout>
          <c:layoutTarget val="inner"/>
          <c:xMode val="edge"/>
          <c:yMode val="edge"/>
          <c:x val="8.6049832837050561E-2"/>
          <c:y val="2.0373331554619728E-3"/>
          <c:w val="0.91359851970389638"/>
          <c:h val="0.911049116604029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C8-42C5-8520-07405941D922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3-1AC8-42C5-8520-07405941D9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C̳álculos!$B$9:$B$11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8-42C5-8520-07405941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6025040"/>
        <c:axId val="366026000"/>
      </c:barChart>
      <c:catAx>
        <c:axId val="36602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26000"/>
        <c:crosses val="autoZero"/>
        <c:auto val="1"/>
        <c:lblAlgn val="ctr"/>
        <c:lblOffset val="100"/>
        <c:noMultiLvlLbl val="0"/>
      </c:catAx>
      <c:valAx>
        <c:axId val="36602600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66025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352425</xdr:colOff>
      <xdr:row>1</xdr:row>
      <xdr:rowOff>152400</xdr:rowOff>
    </xdr:from>
    <xdr:to>
      <xdr:col>0</xdr:col>
      <xdr:colOff>1853022</xdr:colOff>
      <xdr:row>3</xdr:row>
      <xdr:rowOff>2668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AB0A35-E072-41F1-BC17-060469E6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333375"/>
          <a:ext cx="1500597" cy="437008"/>
        </a:xfrm>
        <a:prstGeom prst="rect">
          <a:avLst/>
        </a:prstGeom>
      </xdr:spPr>
    </xdr:pic>
    <xdr:clientData/>
  </xdr:twoCellAnchor>
  <xdr:twoCellAnchor>
    <xdr:from>
      <xdr:col>2</xdr:col>
      <xdr:colOff>49348</xdr:colOff>
      <xdr:row>19</xdr:row>
      <xdr:rowOff>96611</xdr:rowOff>
    </xdr:from>
    <xdr:to>
      <xdr:col>19</xdr:col>
      <xdr:colOff>68036</xdr:colOff>
      <xdr:row>48</xdr:row>
      <xdr:rowOff>172811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4F2DF0AA-88E0-CD92-5306-2674F04193B5}"/>
            </a:ext>
          </a:extLst>
        </xdr:cNvPr>
        <xdr:cNvGrpSpPr/>
      </xdr:nvGrpSpPr>
      <xdr:grpSpPr>
        <a:xfrm>
          <a:off x="2465977" y="3863068"/>
          <a:ext cx="10218602" cy="5442857"/>
          <a:chOff x="2236124" y="1411711"/>
          <a:chExt cx="8237139" cy="437197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0D440AC-4D6D-C7FF-3738-4A158482EC9A}"/>
              </a:ext>
            </a:extLst>
          </xdr:cNvPr>
          <xdr:cNvSpPr/>
        </xdr:nvSpPr>
        <xdr:spPr>
          <a:xfrm>
            <a:off x="2236124" y="1411711"/>
            <a:ext cx="8237139" cy="4371975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590C374-8B96-4AEA-A02C-90692F46FF81}"/>
              </a:ext>
            </a:extLst>
          </xdr:cNvPr>
          <xdr:cNvGraphicFramePr>
            <a:graphicFrameLocks/>
          </xdr:cNvGraphicFramePr>
        </xdr:nvGraphicFramePr>
        <xdr:xfrm>
          <a:off x="2627447" y="1959186"/>
          <a:ext cx="7438935" cy="36438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13608</xdr:colOff>
      <xdr:row>8</xdr:row>
      <xdr:rowOff>103686</xdr:rowOff>
    </xdr:from>
    <xdr:to>
      <xdr:col>0</xdr:col>
      <xdr:colOff>2155371</xdr:colOff>
      <xdr:row>15</xdr:row>
      <xdr:rowOff>87085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29DC492-B5E6-4449-8CB9-638BFA50C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8" y="1834515"/>
              <a:ext cx="2141763" cy="1278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274865</xdr:colOff>
      <xdr:row>8</xdr:row>
      <xdr:rowOff>127907</xdr:rowOff>
    </xdr:from>
    <xdr:to>
      <xdr:col>10</xdr:col>
      <xdr:colOff>408215</xdr:colOff>
      <xdr:row>19</xdr:row>
      <xdr:rowOff>22461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5A70FC6-631F-A692-6988-642C7BA38BB6}"/>
            </a:ext>
          </a:extLst>
        </xdr:cNvPr>
        <xdr:cNvGrpSpPr/>
      </xdr:nvGrpSpPr>
      <xdr:grpSpPr>
        <a:xfrm>
          <a:off x="2691494" y="1858736"/>
          <a:ext cx="5010150" cy="1930182"/>
          <a:chOff x="2771775" y="1209675"/>
          <a:chExt cx="5010150" cy="1892082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CBA7D52E-4223-9A54-B025-13B406C1F425}"/>
              </a:ext>
            </a:extLst>
          </xdr:cNvPr>
          <xdr:cNvGrpSpPr/>
        </xdr:nvGrpSpPr>
        <xdr:grpSpPr>
          <a:xfrm>
            <a:off x="2771775" y="1209675"/>
            <a:ext cx="5000625" cy="1892082"/>
            <a:chOff x="2771775" y="1209675"/>
            <a:chExt cx="5000625" cy="189208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9160FBAB-F0D3-EE36-4CF0-FFC3ED569128}"/>
                </a:ext>
              </a:extLst>
            </xdr:cNvPr>
            <xdr:cNvSpPr/>
          </xdr:nvSpPr>
          <xdr:spPr>
            <a:xfrm>
              <a:off x="2771775" y="1209675"/>
              <a:ext cx="5000625" cy="16954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18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816581E6-6A4F-133A-D04F-8A81C2420AFD}"/>
                </a:ext>
              </a:extLst>
            </xdr:cNvPr>
            <xdr:cNvSpPr/>
          </xdr:nvSpPr>
          <xdr:spPr>
            <a:xfrm>
              <a:off x="5210175" y="1990725"/>
              <a:ext cx="2028826" cy="523875"/>
            </a:xfrm>
            <a:prstGeom prst="roundRect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EDF73A6D-98B8-43EC-B624-E800566C5C54}" type="TxLink">
                <a:rPr lang="en-US" sz="2400" b="1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R$ 600,00</a:t>
              </a:fld>
              <a:endParaRPr lang="pt-BR" sz="2400" b="1"/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00B1B06F-1C28-451C-A3DF-79ABCB0D02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143250" y="1362075"/>
              <a:ext cx="1819275" cy="1739682"/>
            </a:xfrm>
            <a:prstGeom prst="rect">
              <a:avLst/>
            </a:prstGeom>
          </xdr:spPr>
        </xdr:pic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C7E9B3EA-5B04-FA27-C2FF-BE8B921895E6}"/>
              </a:ext>
            </a:extLst>
          </xdr:cNvPr>
          <xdr:cNvSpPr/>
        </xdr:nvSpPr>
        <xdr:spPr>
          <a:xfrm>
            <a:off x="2771775" y="1219200"/>
            <a:ext cx="5010150" cy="5143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 b="1"/>
              <a:t>Total vendas EA Play Season Pass</a:t>
            </a:r>
          </a:p>
        </xdr:txBody>
      </xdr:sp>
    </xdr:grpSp>
    <xdr:clientData/>
  </xdr:twoCellAnchor>
  <xdr:twoCellAnchor>
    <xdr:from>
      <xdr:col>11</xdr:col>
      <xdr:colOff>261256</xdr:colOff>
      <xdr:row>8</xdr:row>
      <xdr:rowOff>157843</xdr:rowOff>
    </xdr:from>
    <xdr:to>
      <xdr:col>19</xdr:col>
      <xdr:colOff>557892</xdr:colOff>
      <xdr:row>18</xdr:row>
      <xdr:rowOff>36739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03955D2F-A617-C3C2-261C-DB06F85E66B5}"/>
            </a:ext>
          </a:extLst>
        </xdr:cNvPr>
        <xdr:cNvGrpSpPr/>
      </xdr:nvGrpSpPr>
      <xdr:grpSpPr>
        <a:xfrm>
          <a:off x="8164285" y="1888672"/>
          <a:ext cx="5010150" cy="1729467"/>
          <a:chOff x="8429625" y="1209675"/>
          <a:chExt cx="5010150" cy="169545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4AD3A09F-A81B-A511-08AC-2AFAC16A63AD}"/>
              </a:ext>
            </a:extLst>
          </xdr:cNvPr>
          <xdr:cNvGrpSpPr/>
        </xdr:nvGrpSpPr>
        <xdr:grpSpPr>
          <a:xfrm>
            <a:off x="8429625" y="1209675"/>
            <a:ext cx="5010150" cy="1695450"/>
            <a:chOff x="2771775" y="1209675"/>
            <a:chExt cx="5010150" cy="1695450"/>
          </a:xfrm>
        </xdr:grpSpPr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465366F5-6CCD-2376-768F-2C5E11929909}"/>
                </a:ext>
              </a:extLst>
            </xdr:cNvPr>
            <xdr:cNvGrpSpPr/>
          </xdr:nvGrpSpPr>
          <xdr:grpSpPr>
            <a:xfrm>
              <a:off x="2771775" y="1209675"/>
              <a:ext cx="5000625" cy="1695450"/>
              <a:chOff x="2771775" y="1209675"/>
              <a:chExt cx="5000625" cy="1695450"/>
            </a:xfrm>
          </xdr:grpSpPr>
          <xdr:sp macro="" textlink="">
            <xdr:nvSpPr>
              <xdr:cNvPr id="18" name="Retângulo: Cantos Arredondados 17">
                <a:extLst>
                  <a:ext uri="{FF2B5EF4-FFF2-40B4-BE49-F238E27FC236}">
                    <a16:creationId xmlns:a16="http://schemas.microsoft.com/office/drawing/2014/main" id="{460A8F85-2CC0-953C-8B2B-4F88820F1CD8}"/>
                  </a:ext>
                </a:extLst>
              </xdr:cNvPr>
              <xdr:cNvSpPr/>
            </xdr:nvSpPr>
            <xdr:spPr>
              <a:xfrm>
                <a:off x="2771775" y="1209675"/>
                <a:ext cx="5000625" cy="16954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D29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54AB89AD-E5DE-F1E2-4CB8-46D207FB48C5}"/>
                  </a:ext>
                </a:extLst>
              </xdr:cNvPr>
              <xdr:cNvSpPr/>
            </xdr:nvSpPr>
            <xdr:spPr>
              <a:xfrm>
                <a:off x="5210175" y="1990725"/>
                <a:ext cx="2028826" cy="523875"/>
              </a:xfrm>
              <a:prstGeom prst="round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fld id="{A342A496-75FA-4EE1-A52C-9DB5030D79C2}" type="TxLink">
                  <a:rPr lang="en-US" sz="2400" b="1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R$ 940,00</a:t>
                </a:fld>
                <a:endParaRPr lang="en-US" sz="2400" b="1" i="0" u="none" strike="noStrike">
                  <a:solidFill>
                    <a:srgbClr val="000000"/>
                  </a:solidFill>
                  <a:latin typeface="Aptos Narrow"/>
                </a:endParaRPr>
              </a:p>
            </xdr:txBody>
          </xdr:sp>
        </xdr:grp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25C0BCA7-7EFD-D975-5C45-0AFC1915B997}"/>
                </a:ext>
              </a:extLst>
            </xdr:cNvPr>
            <xdr:cNvSpPr/>
          </xdr:nvSpPr>
          <xdr:spPr>
            <a:xfrm>
              <a:off x="2771775" y="1219200"/>
              <a:ext cx="5010150" cy="5143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2000" b="1"/>
                <a:t>Total vendas Minecraft 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BA7E9BBD-F66F-421E-AAC5-8C420BD5238B}"/>
              </a:ext>
            </a:extLst>
          </xdr:cNvPr>
          <xdr:cNvGrpSpPr/>
        </xdr:nvGrpSpPr>
        <xdr:grpSpPr>
          <a:xfrm>
            <a:off x="8858250" y="1790700"/>
            <a:ext cx="1549476" cy="72199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F6A3743A-E5ED-14CF-CBDC-6A6F9A1667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6C39262C-C826-B050-0D6B-2312DE12C1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elly Rocha" refreshedDate="46026.068580324078" createdVersion="8" refreshedVersion="8" minRefreshableVersion="3" recordCount="296" xr:uid="{B77A3D15-1413-4A2C-B8D6-63BF53906E13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 count="4">
        <n v="15"/>
        <n v="5"/>
        <n v="10"/>
        <m/>
      </sharedItems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37450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x v="0"/>
    <x v="0"/>
    <x v="0"/>
    <x v="0"/>
    <s v="Yes"/>
    <n v="20"/>
    <n v="5"/>
    <n v="60"/>
  </r>
  <r>
    <n v="3232"/>
    <x v="1"/>
    <x v="1"/>
    <d v="2024-01-15T00:00:00"/>
    <x v="1"/>
    <x v="1"/>
    <x v="1"/>
    <x v="1"/>
    <x v="1"/>
    <s v="No"/>
    <n v="0"/>
    <n v="0"/>
    <n v="5"/>
  </r>
  <r>
    <n v="3233"/>
    <x v="2"/>
    <x v="2"/>
    <d v="2024-02-10T00:00:00"/>
    <x v="0"/>
    <x v="2"/>
    <x v="2"/>
    <x v="1"/>
    <x v="1"/>
    <s v="Yes"/>
    <n v="20"/>
    <n v="10"/>
    <n v="20"/>
  </r>
  <r>
    <n v="3234"/>
    <x v="3"/>
    <x v="0"/>
    <d v="2024-02-20T00:00:00"/>
    <x v="1"/>
    <x v="0"/>
    <x v="0"/>
    <x v="0"/>
    <x v="0"/>
    <s v="Yes"/>
    <n v="20"/>
    <n v="3"/>
    <n v="62"/>
  </r>
  <r>
    <n v="3235"/>
    <x v="4"/>
    <x v="1"/>
    <d v="2024-03-05T00:00:00"/>
    <x v="0"/>
    <x v="1"/>
    <x v="0"/>
    <x v="1"/>
    <x v="1"/>
    <s v="No"/>
    <n v="0"/>
    <n v="1"/>
    <n v="4"/>
  </r>
  <r>
    <n v="3236"/>
    <x v="5"/>
    <x v="2"/>
    <d v="2024-03-02T00:00:00"/>
    <x v="1"/>
    <x v="2"/>
    <x v="0"/>
    <x v="1"/>
    <x v="1"/>
    <s v="Yes"/>
    <n v="20"/>
    <n v="2"/>
    <n v="28"/>
  </r>
  <r>
    <n v="3237"/>
    <x v="6"/>
    <x v="0"/>
    <d v="2024-03-03T00:00:00"/>
    <x v="0"/>
    <x v="0"/>
    <x v="2"/>
    <x v="0"/>
    <x v="0"/>
    <s v="Yes"/>
    <n v="20"/>
    <n v="10"/>
    <n v="55"/>
  </r>
  <r>
    <n v="3238"/>
    <x v="7"/>
    <x v="1"/>
    <d v="2024-03-04T00:00:00"/>
    <x v="0"/>
    <x v="1"/>
    <x v="1"/>
    <x v="1"/>
    <x v="1"/>
    <s v="No"/>
    <n v="0"/>
    <n v="0"/>
    <n v="5"/>
  </r>
  <r>
    <n v="3239"/>
    <x v="8"/>
    <x v="0"/>
    <d v="2024-03-05T00:00:00"/>
    <x v="1"/>
    <x v="0"/>
    <x v="0"/>
    <x v="0"/>
    <x v="0"/>
    <s v="Yes"/>
    <n v="20"/>
    <n v="5"/>
    <n v="60"/>
  </r>
  <r>
    <n v="3240"/>
    <x v="9"/>
    <x v="2"/>
    <d v="2024-03-06T00:00:00"/>
    <x v="0"/>
    <x v="2"/>
    <x v="2"/>
    <x v="1"/>
    <x v="1"/>
    <s v="Yes"/>
    <n v="20"/>
    <n v="15"/>
    <n v="15"/>
  </r>
  <r>
    <n v="3241"/>
    <x v="10"/>
    <x v="1"/>
    <d v="2024-03-07T00:00:00"/>
    <x v="1"/>
    <x v="1"/>
    <x v="0"/>
    <x v="1"/>
    <x v="1"/>
    <s v="No"/>
    <n v="0"/>
    <n v="1"/>
    <n v="4"/>
  </r>
  <r>
    <n v="3242"/>
    <x v="11"/>
    <x v="0"/>
    <d v="2024-03-08T00:00:00"/>
    <x v="0"/>
    <x v="0"/>
    <x v="1"/>
    <x v="0"/>
    <x v="0"/>
    <s v="Yes"/>
    <n v="20"/>
    <n v="20"/>
    <n v="45"/>
  </r>
  <r>
    <n v="3243"/>
    <x v="12"/>
    <x v="2"/>
    <d v="2024-03-09T00:00:00"/>
    <x v="1"/>
    <x v="2"/>
    <x v="0"/>
    <x v="1"/>
    <x v="1"/>
    <s v="Yes"/>
    <n v="20"/>
    <n v="10"/>
    <n v="20"/>
  </r>
  <r>
    <n v="3244"/>
    <x v="13"/>
    <x v="1"/>
    <d v="2024-03-10T00:00:00"/>
    <x v="0"/>
    <x v="1"/>
    <x v="2"/>
    <x v="1"/>
    <x v="1"/>
    <s v="No"/>
    <n v="0"/>
    <n v="0"/>
    <n v="5"/>
  </r>
  <r>
    <n v="3245"/>
    <x v="14"/>
    <x v="0"/>
    <d v="2024-03-11T00:00:00"/>
    <x v="1"/>
    <x v="0"/>
    <x v="0"/>
    <x v="0"/>
    <x v="0"/>
    <s v="Yes"/>
    <n v="20"/>
    <n v="8"/>
    <n v="57"/>
  </r>
  <r>
    <n v="3246"/>
    <x v="15"/>
    <x v="2"/>
    <d v="2024-03-12T00:00:00"/>
    <x v="0"/>
    <x v="2"/>
    <x v="1"/>
    <x v="1"/>
    <x v="1"/>
    <s v="Yes"/>
    <n v="20"/>
    <n v="12"/>
    <n v="18"/>
  </r>
  <r>
    <n v="3247"/>
    <x v="16"/>
    <x v="1"/>
    <d v="2024-03-13T00:00:00"/>
    <x v="1"/>
    <x v="1"/>
    <x v="0"/>
    <x v="1"/>
    <x v="1"/>
    <s v="No"/>
    <n v="0"/>
    <n v="2"/>
    <n v="3"/>
  </r>
  <r>
    <n v="3248"/>
    <x v="17"/>
    <x v="0"/>
    <d v="2024-03-14T00:00:00"/>
    <x v="0"/>
    <x v="0"/>
    <x v="2"/>
    <x v="0"/>
    <x v="0"/>
    <s v="Yes"/>
    <n v="20"/>
    <n v="7"/>
    <n v="58"/>
  </r>
  <r>
    <n v="3249"/>
    <x v="18"/>
    <x v="2"/>
    <d v="2024-03-15T00:00:00"/>
    <x v="1"/>
    <x v="2"/>
    <x v="0"/>
    <x v="1"/>
    <x v="1"/>
    <s v="Yes"/>
    <n v="20"/>
    <n v="5"/>
    <n v="25"/>
  </r>
  <r>
    <n v="3250"/>
    <x v="19"/>
    <x v="1"/>
    <d v="2024-03-16T00:00:00"/>
    <x v="0"/>
    <x v="1"/>
    <x v="1"/>
    <x v="1"/>
    <x v="1"/>
    <s v="No"/>
    <n v="0"/>
    <n v="0"/>
    <n v="5"/>
  </r>
  <r>
    <n v="3251"/>
    <x v="20"/>
    <x v="0"/>
    <d v="2024-03-17T00:00:00"/>
    <x v="1"/>
    <x v="0"/>
    <x v="0"/>
    <x v="0"/>
    <x v="0"/>
    <s v="Yes"/>
    <n v="20"/>
    <n v="3"/>
    <n v="62"/>
  </r>
  <r>
    <n v="3252"/>
    <x v="21"/>
    <x v="2"/>
    <d v="2024-03-18T00:00:00"/>
    <x v="0"/>
    <x v="2"/>
    <x v="2"/>
    <x v="1"/>
    <x v="1"/>
    <s v="Yes"/>
    <n v="20"/>
    <n v="15"/>
    <n v="15"/>
  </r>
  <r>
    <n v="3253"/>
    <x v="22"/>
    <x v="1"/>
    <d v="2024-03-19T00:00:00"/>
    <x v="1"/>
    <x v="1"/>
    <x v="0"/>
    <x v="1"/>
    <x v="1"/>
    <s v="No"/>
    <n v="0"/>
    <n v="1"/>
    <n v="4"/>
  </r>
  <r>
    <n v="3254"/>
    <x v="23"/>
    <x v="0"/>
    <d v="2024-03-20T00:00:00"/>
    <x v="0"/>
    <x v="0"/>
    <x v="1"/>
    <x v="0"/>
    <x v="0"/>
    <s v="Yes"/>
    <n v="20"/>
    <n v="20"/>
    <n v="45"/>
  </r>
  <r>
    <n v="3255"/>
    <x v="24"/>
    <x v="2"/>
    <d v="2024-03-21T00:00:00"/>
    <x v="1"/>
    <x v="2"/>
    <x v="0"/>
    <x v="1"/>
    <x v="1"/>
    <s v="Yes"/>
    <n v="20"/>
    <n v="10"/>
    <n v="20"/>
  </r>
  <r>
    <n v="3256"/>
    <x v="25"/>
    <x v="1"/>
    <d v="2024-03-22T00:00:00"/>
    <x v="0"/>
    <x v="1"/>
    <x v="2"/>
    <x v="1"/>
    <x v="1"/>
    <s v="No"/>
    <n v="0"/>
    <n v="0"/>
    <n v="5"/>
  </r>
  <r>
    <n v="3257"/>
    <x v="26"/>
    <x v="0"/>
    <d v="2024-03-23T00:00:00"/>
    <x v="1"/>
    <x v="0"/>
    <x v="0"/>
    <x v="0"/>
    <x v="0"/>
    <s v="Yes"/>
    <n v="20"/>
    <n v="5"/>
    <n v="60"/>
  </r>
  <r>
    <n v="3258"/>
    <x v="27"/>
    <x v="2"/>
    <d v="2024-03-24T00:00:00"/>
    <x v="0"/>
    <x v="2"/>
    <x v="1"/>
    <x v="1"/>
    <x v="1"/>
    <s v="Yes"/>
    <n v="20"/>
    <n v="15"/>
    <n v="15"/>
  </r>
  <r>
    <n v="3259"/>
    <x v="28"/>
    <x v="1"/>
    <d v="2024-03-25T00:00:00"/>
    <x v="1"/>
    <x v="1"/>
    <x v="0"/>
    <x v="1"/>
    <x v="1"/>
    <s v="No"/>
    <n v="0"/>
    <n v="1"/>
    <n v="4"/>
  </r>
  <r>
    <n v="3260"/>
    <x v="29"/>
    <x v="0"/>
    <d v="2024-03-26T00:00:00"/>
    <x v="0"/>
    <x v="0"/>
    <x v="2"/>
    <x v="0"/>
    <x v="0"/>
    <s v="Yes"/>
    <n v="20"/>
    <n v="7"/>
    <n v="58"/>
  </r>
  <r>
    <n v="3261"/>
    <x v="30"/>
    <x v="2"/>
    <d v="2024-03-27T00:00:00"/>
    <x v="1"/>
    <x v="2"/>
    <x v="0"/>
    <x v="1"/>
    <x v="1"/>
    <s v="Yes"/>
    <n v="20"/>
    <n v="10"/>
    <n v="20"/>
  </r>
  <r>
    <n v="3262"/>
    <x v="31"/>
    <x v="1"/>
    <d v="2024-03-28T00:00:00"/>
    <x v="0"/>
    <x v="1"/>
    <x v="1"/>
    <x v="1"/>
    <x v="1"/>
    <s v="No"/>
    <n v="0"/>
    <n v="0"/>
    <n v="5"/>
  </r>
  <r>
    <n v="3263"/>
    <x v="32"/>
    <x v="0"/>
    <d v="2024-03-29T00:00:00"/>
    <x v="1"/>
    <x v="0"/>
    <x v="0"/>
    <x v="0"/>
    <x v="0"/>
    <s v="Yes"/>
    <n v="20"/>
    <n v="3"/>
    <n v="62"/>
  </r>
  <r>
    <n v="3264"/>
    <x v="33"/>
    <x v="2"/>
    <d v="2024-03-30T00:00:00"/>
    <x v="0"/>
    <x v="2"/>
    <x v="2"/>
    <x v="1"/>
    <x v="1"/>
    <s v="Yes"/>
    <n v="20"/>
    <n v="15"/>
    <n v="15"/>
  </r>
  <r>
    <n v="3265"/>
    <x v="34"/>
    <x v="1"/>
    <d v="2024-03-31T00:00:00"/>
    <x v="1"/>
    <x v="1"/>
    <x v="0"/>
    <x v="1"/>
    <x v="1"/>
    <s v="No"/>
    <n v="0"/>
    <n v="1"/>
    <n v="4"/>
  </r>
  <r>
    <n v="3266"/>
    <x v="35"/>
    <x v="1"/>
    <d v="2024-04-01T00:00:00"/>
    <x v="0"/>
    <x v="1"/>
    <x v="0"/>
    <x v="1"/>
    <x v="1"/>
    <s v="No"/>
    <n v="0"/>
    <n v="0"/>
    <n v="5"/>
  </r>
  <r>
    <n v="3267"/>
    <x v="36"/>
    <x v="0"/>
    <d v="2024-04-02T00:00:00"/>
    <x v="1"/>
    <x v="0"/>
    <x v="2"/>
    <x v="0"/>
    <x v="0"/>
    <s v="Yes"/>
    <n v="20"/>
    <n v="7"/>
    <n v="58"/>
  </r>
  <r>
    <n v="3268"/>
    <x v="37"/>
    <x v="2"/>
    <d v="2024-04-03T00:00:00"/>
    <x v="0"/>
    <x v="2"/>
    <x v="1"/>
    <x v="1"/>
    <x v="1"/>
    <s v="Yes"/>
    <n v="20"/>
    <n v="10"/>
    <n v="20"/>
  </r>
  <r>
    <n v="3269"/>
    <x v="38"/>
    <x v="1"/>
    <d v="2024-04-04T00:00:00"/>
    <x v="1"/>
    <x v="1"/>
    <x v="2"/>
    <x v="1"/>
    <x v="1"/>
    <s v="No"/>
    <n v="0"/>
    <n v="1"/>
    <n v="4"/>
  </r>
  <r>
    <n v="3270"/>
    <x v="39"/>
    <x v="0"/>
    <d v="2024-04-05T00:00:00"/>
    <x v="0"/>
    <x v="0"/>
    <x v="0"/>
    <x v="0"/>
    <x v="0"/>
    <s v="Yes"/>
    <n v="20"/>
    <n v="15"/>
    <n v="50"/>
  </r>
  <r>
    <n v="3271"/>
    <x v="40"/>
    <x v="2"/>
    <d v="2024-04-06T00:00:00"/>
    <x v="1"/>
    <x v="2"/>
    <x v="0"/>
    <x v="1"/>
    <x v="1"/>
    <s v="Yes"/>
    <n v="20"/>
    <n v="5"/>
    <n v="25"/>
  </r>
  <r>
    <n v="3272"/>
    <x v="41"/>
    <x v="1"/>
    <d v="2024-04-07T00:00:00"/>
    <x v="0"/>
    <x v="1"/>
    <x v="1"/>
    <x v="1"/>
    <x v="1"/>
    <s v="No"/>
    <n v="0"/>
    <n v="0"/>
    <n v="5"/>
  </r>
  <r>
    <n v="3273"/>
    <x v="42"/>
    <x v="0"/>
    <d v="2024-04-08T00:00:00"/>
    <x v="1"/>
    <x v="0"/>
    <x v="2"/>
    <x v="0"/>
    <x v="0"/>
    <s v="Yes"/>
    <n v="20"/>
    <n v="20"/>
    <n v="45"/>
  </r>
  <r>
    <n v="3274"/>
    <x v="43"/>
    <x v="2"/>
    <d v="2024-04-09T00:00:00"/>
    <x v="0"/>
    <x v="2"/>
    <x v="2"/>
    <x v="1"/>
    <x v="1"/>
    <s v="Yes"/>
    <n v="20"/>
    <n v="12"/>
    <n v="18"/>
  </r>
  <r>
    <n v="3275"/>
    <x v="44"/>
    <x v="1"/>
    <d v="2024-04-10T00:00:00"/>
    <x v="1"/>
    <x v="1"/>
    <x v="0"/>
    <x v="1"/>
    <x v="1"/>
    <s v="No"/>
    <n v="0"/>
    <n v="2"/>
    <n v="3"/>
  </r>
  <r>
    <n v="3276"/>
    <x v="45"/>
    <x v="0"/>
    <d v="2024-04-11T00:00:00"/>
    <x v="0"/>
    <x v="0"/>
    <x v="1"/>
    <x v="0"/>
    <x v="0"/>
    <s v="Yes"/>
    <n v="20"/>
    <n v="5"/>
    <n v="60"/>
  </r>
  <r>
    <n v="3277"/>
    <x v="46"/>
    <x v="2"/>
    <d v="2024-04-12T00:00:00"/>
    <x v="1"/>
    <x v="2"/>
    <x v="0"/>
    <x v="1"/>
    <x v="1"/>
    <s v="Yes"/>
    <n v="20"/>
    <n v="10"/>
    <n v="20"/>
  </r>
  <r>
    <n v="3278"/>
    <x v="47"/>
    <x v="1"/>
    <d v="2024-04-13T00:00:00"/>
    <x v="0"/>
    <x v="1"/>
    <x v="2"/>
    <x v="1"/>
    <x v="1"/>
    <s v="No"/>
    <n v="0"/>
    <n v="0"/>
    <n v="5"/>
  </r>
  <r>
    <n v="3279"/>
    <x v="48"/>
    <x v="0"/>
    <d v="2024-04-14T00:00:00"/>
    <x v="1"/>
    <x v="0"/>
    <x v="0"/>
    <x v="0"/>
    <x v="0"/>
    <s v="Yes"/>
    <n v="20"/>
    <n v="3"/>
    <n v="62"/>
  </r>
  <r>
    <n v="3280"/>
    <x v="49"/>
    <x v="2"/>
    <d v="2024-04-15T00:00:00"/>
    <x v="0"/>
    <x v="2"/>
    <x v="1"/>
    <x v="1"/>
    <x v="1"/>
    <s v="Yes"/>
    <n v="20"/>
    <n v="15"/>
    <n v="15"/>
  </r>
  <r>
    <n v="3281"/>
    <x v="50"/>
    <x v="1"/>
    <d v="2024-04-16T00:00:00"/>
    <x v="1"/>
    <x v="1"/>
    <x v="0"/>
    <x v="1"/>
    <x v="1"/>
    <s v="No"/>
    <n v="0"/>
    <n v="1"/>
    <n v="4"/>
  </r>
  <r>
    <n v="3282"/>
    <x v="51"/>
    <x v="0"/>
    <d v="2024-04-17T00:00:00"/>
    <x v="0"/>
    <x v="0"/>
    <x v="2"/>
    <x v="0"/>
    <x v="0"/>
    <s v="Yes"/>
    <n v="20"/>
    <n v="7"/>
    <n v="58"/>
  </r>
  <r>
    <n v="3283"/>
    <x v="52"/>
    <x v="2"/>
    <d v="2024-04-18T00:00:00"/>
    <x v="1"/>
    <x v="2"/>
    <x v="0"/>
    <x v="1"/>
    <x v="1"/>
    <s v="Yes"/>
    <n v="20"/>
    <n v="10"/>
    <n v="20"/>
  </r>
  <r>
    <n v="3284"/>
    <x v="53"/>
    <x v="1"/>
    <d v="2024-04-19T00:00:00"/>
    <x v="0"/>
    <x v="1"/>
    <x v="1"/>
    <x v="1"/>
    <x v="1"/>
    <s v="No"/>
    <n v="0"/>
    <n v="0"/>
    <n v="5"/>
  </r>
  <r>
    <n v="3285"/>
    <x v="54"/>
    <x v="0"/>
    <d v="2024-04-20T00:00:00"/>
    <x v="1"/>
    <x v="0"/>
    <x v="0"/>
    <x v="0"/>
    <x v="0"/>
    <s v="Yes"/>
    <n v="20"/>
    <n v="20"/>
    <n v="45"/>
  </r>
  <r>
    <n v="3286"/>
    <x v="55"/>
    <x v="2"/>
    <d v="2024-04-21T00:00:00"/>
    <x v="0"/>
    <x v="2"/>
    <x v="2"/>
    <x v="1"/>
    <x v="1"/>
    <s v="Yes"/>
    <n v="20"/>
    <n v="15"/>
    <n v="15"/>
  </r>
  <r>
    <n v="3287"/>
    <x v="56"/>
    <x v="1"/>
    <d v="2024-04-22T00:00:00"/>
    <x v="1"/>
    <x v="1"/>
    <x v="0"/>
    <x v="1"/>
    <x v="1"/>
    <s v="No"/>
    <n v="0"/>
    <n v="1"/>
    <n v="4"/>
  </r>
  <r>
    <n v="3288"/>
    <x v="57"/>
    <x v="0"/>
    <d v="2024-04-23T00:00:00"/>
    <x v="0"/>
    <x v="0"/>
    <x v="1"/>
    <x v="0"/>
    <x v="0"/>
    <s v="Yes"/>
    <n v="20"/>
    <n v="3"/>
    <n v="62"/>
  </r>
  <r>
    <n v="3289"/>
    <x v="58"/>
    <x v="2"/>
    <d v="2024-04-24T00:00:00"/>
    <x v="1"/>
    <x v="2"/>
    <x v="0"/>
    <x v="1"/>
    <x v="1"/>
    <s v="Yes"/>
    <n v="20"/>
    <n v="10"/>
    <n v="20"/>
  </r>
  <r>
    <n v="3290"/>
    <x v="59"/>
    <x v="1"/>
    <d v="2024-04-25T00:00:00"/>
    <x v="0"/>
    <x v="1"/>
    <x v="2"/>
    <x v="1"/>
    <x v="1"/>
    <s v="No"/>
    <n v="0"/>
    <n v="0"/>
    <n v="5"/>
  </r>
  <r>
    <n v="3291"/>
    <x v="60"/>
    <x v="0"/>
    <d v="2024-04-26T00:00:00"/>
    <x v="1"/>
    <x v="0"/>
    <x v="0"/>
    <x v="0"/>
    <x v="0"/>
    <s v="Yes"/>
    <n v="20"/>
    <n v="5"/>
    <n v="60"/>
  </r>
  <r>
    <n v="3292"/>
    <x v="61"/>
    <x v="2"/>
    <d v="2024-04-27T00:00:00"/>
    <x v="0"/>
    <x v="2"/>
    <x v="1"/>
    <x v="1"/>
    <x v="1"/>
    <s v="Yes"/>
    <n v="20"/>
    <n v="15"/>
    <n v="15"/>
  </r>
  <r>
    <n v="3293"/>
    <x v="62"/>
    <x v="1"/>
    <d v="2024-04-28T00:00:00"/>
    <x v="1"/>
    <x v="1"/>
    <x v="0"/>
    <x v="1"/>
    <x v="1"/>
    <s v="No"/>
    <n v="0"/>
    <n v="1"/>
    <n v="4"/>
  </r>
  <r>
    <n v="3294"/>
    <x v="63"/>
    <x v="0"/>
    <d v="2024-04-29T00:00:00"/>
    <x v="0"/>
    <x v="0"/>
    <x v="2"/>
    <x v="0"/>
    <x v="0"/>
    <s v="Yes"/>
    <n v="20"/>
    <n v="20"/>
    <n v="45"/>
  </r>
  <r>
    <n v="3295"/>
    <x v="64"/>
    <x v="2"/>
    <d v="2024-04-30T00:00:00"/>
    <x v="1"/>
    <x v="2"/>
    <x v="0"/>
    <x v="1"/>
    <x v="1"/>
    <s v="Yes"/>
    <n v="20"/>
    <n v="5"/>
    <n v="25"/>
  </r>
  <r>
    <n v="3296"/>
    <x v="65"/>
    <x v="1"/>
    <d v="2024-05-01T00:00:00"/>
    <x v="1"/>
    <x v="1"/>
    <x v="0"/>
    <x v="1"/>
    <x v="1"/>
    <s v="No"/>
    <n v="0"/>
    <n v="0"/>
    <n v="5"/>
  </r>
  <r>
    <n v="3297"/>
    <x v="66"/>
    <x v="0"/>
    <d v="2024-05-02T00:00:00"/>
    <x v="0"/>
    <x v="0"/>
    <x v="2"/>
    <x v="0"/>
    <x v="0"/>
    <s v="Yes"/>
    <n v="20"/>
    <n v="7"/>
    <n v="58"/>
  </r>
  <r>
    <n v="3298"/>
    <x v="67"/>
    <x v="2"/>
    <d v="2024-05-03T00:00:00"/>
    <x v="1"/>
    <x v="2"/>
    <x v="1"/>
    <x v="1"/>
    <x v="1"/>
    <s v="Yes"/>
    <n v="20"/>
    <n v="10"/>
    <n v="20"/>
  </r>
  <r>
    <n v="3299"/>
    <x v="68"/>
    <x v="1"/>
    <d v="2024-05-04T00:00:00"/>
    <x v="0"/>
    <x v="1"/>
    <x v="2"/>
    <x v="1"/>
    <x v="1"/>
    <s v="No"/>
    <n v="0"/>
    <n v="1"/>
    <n v="4"/>
  </r>
  <r>
    <n v="3300"/>
    <x v="69"/>
    <x v="0"/>
    <d v="2024-05-05T00:00:00"/>
    <x v="1"/>
    <x v="0"/>
    <x v="0"/>
    <x v="0"/>
    <x v="0"/>
    <s v="Yes"/>
    <n v="20"/>
    <n v="15"/>
    <n v="50"/>
  </r>
  <r>
    <n v="3301"/>
    <x v="70"/>
    <x v="2"/>
    <d v="2024-05-06T00:00:00"/>
    <x v="0"/>
    <x v="2"/>
    <x v="0"/>
    <x v="1"/>
    <x v="1"/>
    <s v="Yes"/>
    <n v="20"/>
    <n v="5"/>
    <n v="25"/>
  </r>
  <r>
    <n v="3302"/>
    <x v="71"/>
    <x v="1"/>
    <d v="2024-05-07T00:00:00"/>
    <x v="1"/>
    <x v="1"/>
    <x v="1"/>
    <x v="1"/>
    <x v="1"/>
    <s v="No"/>
    <n v="0"/>
    <n v="0"/>
    <n v="5"/>
  </r>
  <r>
    <n v="3303"/>
    <x v="72"/>
    <x v="0"/>
    <d v="2024-05-08T00:00:00"/>
    <x v="0"/>
    <x v="0"/>
    <x v="2"/>
    <x v="0"/>
    <x v="0"/>
    <s v="Yes"/>
    <n v="20"/>
    <n v="20"/>
    <n v="45"/>
  </r>
  <r>
    <n v="3304"/>
    <x v="73"/>
    <x v="2"/>
    <d v="2024-05-09T00:00:00"/>
    <x v="1"/>
    <x v="2"/>
    <x v="2"/>
    <x v="1"/>
    <x v="1"/>
    <s v="Yes"/>
    <n v="20"/>
    <n v="12"/>
    <n v="18"/>
  </r>
  <r>
    <n v="3305"/>
    <x v="74"/>
    <x v="1"/>
    <d v="2024-05-10T00:00:00"/>
    <x v="0"/>
    <x v="1"/>
    <x v="0"/>
    <x v="1"/>
    <x v="1"/>
    <s v="No"/>
    <n v="0"/>
    <n v="2"/>
    <n v="3"/>
  </r>
  <r>
    <n v="3306"/>
    <x v="75"/>
    <x v="0"/>
    <d v="2024-05-11T00:00:00"/>
    <x v="1"/>
    <x v="0"/>
    <x v="1"/>
    <x v="0"/>
    <x v="0"/>
    <s v="Yes"/>
    <n v="20"/>
    <n v="5"/>
    <n v="60"/>
  </r>
  <r>
    <n v="3307"/>
    <x v="76"/>
    <x v="2"/>
    <d v="2024-05-12T00:00:00"/>
    <x v="0"/>
    <x v="2"/>
    <x v="0"/>
    <x v="1"/>
    <x v="1"/>
    <s v="Yes"/>
    <n v="20"/>
    <n v="10"/>
    <n v="20"/>
  </r>
  <r>
    <n v="3308"/>
    <x v="77"/>
    <x v="1"/>
    <d v="2024-05-13T00:00:00"/>
    <x v="1"/>
    <x v="1"/>
    <x v="2"/>
    <x v="1"/>
    <x v="1"/>
    <s v="No"/>
    <n v="0"/>
    <n v="0"/>
    <n v="5"/>
  </r>
  <r>
    <n v="3309"/>
    <x v="78"/>
    <x v="0"/>
    <d v="2024-05-14T00:00:00"/>
    <x v="0"/>
    <x v="0"/>
    <x v="0"/>
    <x v="0"/>
    <x v="0"/>
    <s v="Yes"/>
    <n v="20"/>
    <n v="3"/>
    <n v="62"/>
  </r>
  <r>
    <n v="3310"/>
    <x v="79"/>
    <x v="2"/>
    <d v="2024-05-15T00:00:00"/>
    <x v="1"/>
    <x v="2"/>
    <x v="1"/>
    <x v="1"/>
    <x v="1"/>
    <s v="Yes"/>
    <n v="20"/>
    <n v="15"/>
    <n v="15"/>
  </r>
  <r>
    <n v="3311"/>
    <x v="80"/>
    <x v="1"/>
    <d v="2024-05-16T00:00:00"/>
    <x v="0"/>
    <x v="1"/>
    <x v="0"/>
    <x v="1"/>
    <x v="1"/>
    <s v="No"/>
    <n v="0"/>
    <n v="1"/>
    <n v="4"/>
  </r>
  <r>
    <n v="3312"/>
    <x v="81"/>
    <x v="0"/>
    <d v="2024-05-17T00:00:00"/>
    <x v="1"/>
    <x v="0"/>
    <x v="2"/>
    <x v="0"/>
    <x v="0"/>
    <s v="Yes"/>
    <n v="20"/>
    <n v="7"/>
    <n v="58"/>
  </r>
  <r>
    <n v="3313"/>
    <x v="82"/>
    <x v="2"/>
    <d v="2024-05-18T00:00:00"/>
    <x v="0"/>
    <x v="2"/>
    <x v="0"/>
    <x v="1"/>
    <x v="1"/>
    <s v="Yes"/>
    <n v="20"/>
    <n v="10"/>
    <n v="20"/>
  </r>
  <r>
    <n v="3314"/>
    <x v="83"/>
    <x v="1"/>
    <d v="2024-05-19T00:00:00"/>
    <x v="1"/>
    <x v="1"/>
    <x v="1"/>
    <x v="1"/>
    <x v="1"/>
    <s v="No"/>
    <n v="0"/>
    <n v="0"/>
    <n v="5"/>
  </r>
  <r>
    <n v="3315"/>
    <x v="84"/>
    <x v="0"/>
    <d v="2024-05-20T00:00:00"/>
    <x v="0"/>
    <x v="0"/>
    <x v="0"/>
    <x v="0"/>
    <x v="0"/>
    <s v="Yes"/>
    <n v="20"/>
    <n v="20"/>
    <n v="45"/>
  </r>
  <r>
    <n v="3316"/>
    <x v="85"/>
    <x v="2"/>
    <d v="2024-05-21T00:00:00"/>
    <x v="1"/>
    <x v="2"/>
    <x v="2"/>
    <x v="1"/>
    <x v="1"/>
    <s v="Yes"/>
    <n v="20"/>
    <n v="15"/>
    <n v="15"/>
  </r>
  <r>
    <n v="3317"/>
    <x v="86"/>
    <x v="1"/>
    <d v="2024-05-22T00:00:00"/>
    <x v="0"/>
    <x v="1"/>
    <x v="0"/>
    <x v="1"/>
    <x v="1"/>
    <s v="No"/>
    <n v="0"/>
    <n v="1"/>
    <n v="4"/>
  </r>
  <r>
    <n v="3318"/>
    <x v="87"/>
    <x v="0"/>
    <d v="2024-05-23T00:00:00"/>
    <x v="1"/>
    <x v="0"/>
    <x v="1"/>
    <x v="0"/>
    <x v="0"/>
    <s v="Yes"/>
    <n v="20"/>
    <n v="3"/>
    <n v="62"/>
  </r>
  <r>
    <n v="3319"/>
    <x v="88"/>
    <x v="2"/>
    <d v="2024-05-24T00:00:00"/>
    <x v="0"/>
    <x v="2"/>
    <x v="0"/>
    <x v="1"/>
    <x v="1"/>
    <s v="Yes"/>
    <n v="20"/>
    <n v="10"/>
    <n v="20"/>
  </r>
  <r>
    <n v="3320"/>
    <x v="89"/>
    <x v="1"/>
    <d v="2024-05-25T00:00:00"/>
    <x v="1"/>
    <x v="1"/>
    <x v="2"/>
    <x v="1"/>
    <x v="1"/>
    <s v="No"/>
    <n v="0"/>
    <n v="0"/>
    <n v="5"/>
  </r>
  <r>
    <n v="3321"/>
    <x v="90"/>
    <x v="0"/>
    <d v="2024-05-26T00:00:00"/>
    <x v="0"/>
    <x v="0"/>
    <x v="0"/>
    <x v="0"/>
    <x v="0"/>
    <s v="Yes"/>
    <n v="20"/>
    <n v="5"/>
    <n v="60"/>
  </r>
  <r>
    <n v="3322"/>
    <x v="91"/>
    <x v="2"/>
    <d v="2024-05-27T00:00:00"/>
    <x v="1"/>
    <x v="2"/>
    <x v="1"/>
    <x v="1"/>
    <x v="1"/>
    <s v="Yes"/>
    <n v="20"/>
    <n v="15"/>
    <n v="15"/>
  </r>
  <r>
    <n v="3323"/>
    <x v="92"/>
    <x v="1"/>
    <d v="2024-05-28T00:00:00"/>
    <x v="0"/>
    <x v="1"/>
    <x v="0"/>
    <x v="1"/>
    <x v="1"/>
    <s v="No"/>
    <n v="0"/>
    <n v="1"/>
    <n v="4"/>
  </r>
  <r>
    <n v="3324"/>
    <x v="93"/>
    <x v="0"/>
    <d v="2024-05-29T00:00:00"/>
    <x v="1"/>
    <x v="0"/>
    <x v="2"/>
    <x v="0"/>
    <x v="0"/>
    <s v="Yes"/>
    <n v="20"/>
    <n v="20"/>
    <n v="45"/>
  </r>
  <r>
    <n v="3325"/>
    <x v="94"/>
    <x v="2"/>
    <d v="2024-05-30T00:00:00"/>
    <x v="0"/>
    <x v="2"/>
    <x v="2"/>
    <x v="1"/>
    <x v="1"/>
    <s v="Yes"/>
    <n v="20"/>
    <n v="15"/>
    <n v="15"/>
  </r>
  <r>
    <n v="3326"/>
    <x v="95"/>
    <x v="1"/>
    <d v="2024-05-31T00:00:00"/>
    <x v="1"/>
    <x v="1"/>
    <x v="1"/>
    <x v="1"/>
    <x v="1"/>
    <s v="No"/>
    <n v="0"/>
    <n v="0"/>
    <n v="5"/>
  </r>
  <r>
    <n v="3327"/>
    <x v="96"/>
    <x v="0"/>
    <d v="2024-06-01T00:00:00"/>
    <x v="0"/>
    <x v="0"/>
    <x v="0"/>
    <x v="0"/>
    <x v="0"/>
    <s v="Yes"/>
    <n v="20"/>
    <n v="7"/>
    <n v="58"/>
  </r>
  <r>
    <n v="3328"/>
    <x v="97"/>
    <x v="2"/>
    <d v="2024-06-02T00:00:00"/>
    <x v="1"/>
    <x v="2"/>
    <x v="1"/>
    <x v="1"/>
    <x v="1"/>
    <s v="Yes"/>
    <n v="20"/>
    <n v="10"/>
    <n v="20"/>
  </r>
  <r>
    <n v="3329"/>
    <x v="98"/>
    <x v="1"/>
    <d v="2024-06-03T00:00:00"/>
    <x v="0"/>
    <x v="1"/>
    <x v="2"/>
    <x v="1"/>
    <x v="1"/>
    <s v="No"/>
    <n v="0"/>
    <n v="1"/>
    <n v="4"/>
  </r>
  <r>
    <n v="3330"/>
    <x v="99"/>
    <x v="0"/>
    <d v="2024-06-04T00:00:00"/>
    <x v="1"/>
    <x v="0"/>
    <x v="0"/>
    <x v="0"/>
    <x v="0"/>
    <s v="Yes"/>
    <n v="20"/>
    <n v="15"/>
    <n v="50"/>
  </r>
  <r>
    <n v="3331"/>
    <x v="100"/>
    <x v="2"/>
    <d v="2024-06-05T00:00:00"/>
    <x v="0"/>
    <x v="2"/>
    <x v="0"/>
    <x v="1"/>
    <x v="1"/>
    <s v="Yes"/>
    <n v="20"/>
    <n v="5"/>
    <n v="25"/>
  </r>
  <r>
    <n v="3332"/>
    <x v="101"/>
    <x v="1"/>
    <d v="2024-06-06T00:00:00"/>
    <x v="1"/>
    <x v="1"/>
    <x v="1"/>
    <x v="1"/>
    <x v="1"/>
    <s v="No"/>
    <n v="0"/>
    <n v="0"/>
    <n v="5"/>
  </r>
  <r>
    <n v="3333"/>
    <x v="102"/>
    <x v="0"/>
    <d v="2024-06-07T00:00:00"/>
    <x v="0"/>
    <x v="0"/>
    <x v="2"/>
    <x v="0"/>
    <x v="0"/>
    <s v="Yes"/>
    <n v="20"/>
    <n v="20"/>
    <n v="45"/>
  </r>
  <r>
    <n v="3334"/>
    <x v="103"/>
    <x v="2"/>
    <d v="2024-06-08T00:00:00"/>
    <x v="1"/>
    <x v="2"/>
    <x v="2"/>
    <x v="1"/>
    <x v="1"/>
    <s v="Yes"/>
    <n v="20"/>
    <n v="12"/>
    <n v="18"/>
  </r>
  <r>
    <n v="3335"/>
    <x v="104"/>
    <x v="1"/>
    <d v="2024-06-09T00:00:00"/>
    <x v="0"/>
    <x v="1"/>
    <x v="0"/>
    <x v="1"/>
    <x v="1"/>
    <s v="No"/>
    <n v="0"/>
    <n v="2"/>
    <n v="3"/>
  </r>
  <r>
    <n v="3336"/>
    <x v="105"/>
    <x v="1"/>
    <d v="2024-06-10T00:00:00"/>
    <x v="0"/>
    <x v="1"/>
    <x v="0"/>
    <x v="1"/>
    <x v="1"/>
    <s v="No"/>
    <n v="0"/>
    <n v="0"/>
    <n v="5"/>
  </r>
  <r>
    <n v="3337"/>
    <x v="106"/>
    <x v="0"/>
    <d v="2024-06-11T00:00:00"/>
    <x v="1"/>
    <x v="0"/>
    <x v="2"/>
    <x v="0"/>
    <x v="0"/>
    <s v="Yes"/>
    <n v="20"/>
    <n v="7"/>
    <n v="58"/>
  </r>
  <r>
    <n v="3338"/>
    <x v="107"/>
    <x v="2"/>
    <d v="2024-06-12T00:00:00"/>
    <x v="0"/>
    <x v="2"/>
    <x v="1"/>
    <x v="1"/>
    <x v="1"/>
    <s v="Yes"/>
    <n v="20"/>
    <n v="10"/>
    <n v="20"/>
  </r>
  <r>
    <n v="3339"/>
    <x v="108"/>
    <x v="1"/>
    <d v="2024-06-13T00:00:00"/>
    <x v="1"/>
    <x v="1"/>
    <x v="2"/>
    <x v="1"/>
    <x v="1"/>
    <s v="No"/>
    <n v="0"/>
    <n v="1"/>
    <n v="4"/>
  </r>
  <r>
    <n v="3340"/>
    <x v="109"/>
    <x v="0"/>
    <d v="2024-06-14T00:00:00"/>
    <x v="0"/>
    <x v="0"/>
    <x v="0"/>
    <x v="0"/>
    <x v="0"/>
    <s v="Yes"/>
    <n v="20"/>
    <n v="15"/>
    <n v="50"/>
  </r>
  <r>
    <n v="3341"/>
    <x v="110"/>
    <x v="2"/>
    <d v="2024-06-15T00:00:00"/>
    <x v="1"/>
    <x v="2"/>
    <x v="0"/>
    <x v="1"/>
    <x v="1"/>
    <s v="Yes"/>
    <n v="20"/>
    <n v="5"/>
    <n v="25"/>
  </r>
  <r>
    <n v="3342"/>
    <x v="111"/>
    <x v="1"/>
    <d v="2024-06-16T00:00:00"/>
    <x v="0"/>
    <x v="1"/>
    <x v="1"/>
    <x v="1"/>
    <x v="1"/>
    <s v="No"/>
    <n v="0"/>
    <n v="0"/>
    <n v="5"/>
  </r>
  <r>
    <n v="3343"/>
    <x v="112"/>
    <x v="0"/>
    <d v="2024-06-17T00:00:00"/>
    <x v="1"/>
    <x v="0"/>
    <x v="2"/>
    <x v="0"/>
    <x v="0"/>
    <s v="Yes"/>
    <n v="20"/>
    <n v="20"/>
    <n v="45"/>
  </r>
  <r>
    <n v="3344"/>
    <x v="113"/>
    <x v="2"/>
    <d v="2024-06-18T00:00:00"/>
    <x v="0"/>
    <x v="2"/>
    <x v="2"/>
    <x v="1"/>
    <x v="1"/>
    <s v="Yes"/>
    <n v="20"/>
    <n v="12"/>
    <n v="18"/>
  </r>
  <r>
    <n v="3345"/>
    <x v="114"/>
    <x v="1"/>
    <d v="2024-06-19T00:00:00"/>
    <x v="1"/>
    <x v="1"/>
    <x v="0"/>
    <x v="1"/>
    <x v="1"/>
    <s v="No"/>
    <n v="0"/>
    <n v="2"/>
    <n v="3"/>
  </r>
  <r>
    <n v="3346"/>
    <x v="115"/>
    <x v="0"/>
    <d v="2024-06-20T00:00:00"/>
    <x v="0"/>
    <x v="0"/>
    <x v="1"/>
    <x v="0"/>
    <x v="0"/>
    <s v="Yes"/>
    <n v="20"/>
    <n v="5"/>
    <n v="60"/>
  </r>
  <r>
    <n v="3347"/>
    <x v="116"/>
    <x v="2"/>
    <d v="2024-06-21T00:00:00"/>
    <x v="1"/>
    <x v="2"/>
    <x v="0"/>
    <x v="1"/>
    <x v="1"/>
    <s v="Yes"/>
    <n v="20"/>
    <n v="10"/>
    <n v="20"/>
  </r>
  <r>
    <n v="3348"/>
    <x v="117"/>
    <x v="1"/>
    <d v="2024-06-22T00:00:00"/>
    <x v="0"/>
    <x v="1"/>
    <x v="2"/>
    <x v="1"/>
    <x v="1"/>
    <s v="No"/>
    <n v="0"/>
    <n v="0"/>
    <n v="5"/>
  </r>
  <r>
    <n v="3349"/>
    <x v="93"/>
    <x v="0"/>
    <d v="2024-06-23T00:00:00"/>
    <x v="1"/>
    <x v="0"/>
    <x v="0"/>
    <x v="0"/>
    <x v="0"/>
    <s v="Yes"/>
    <n v="20"/>
    <n v="3"/>
    <n v="62"/>
  </r>
  <r>
    <n v="3350"/>
    <x v="118"/>
    <x v="2"/>
    <d v="2024-06-24T00:00:00"/>
    <x v="0"/>
    <x v="2"/>
    <x v="1"/>
    <x v="1"/>
    <x v="1"/>
    <s v="Yes"/>
    <n v="20"/>
    <n v="15"/>
    <n v="15"/>
  </r>
  <r>
    <n v="3351"/>
    <x v="119"/>
    <x v="1"/>
    <d v="2024-06-25T00:00:00"/>
    <x v="1"/>
    <x v="1"/>
    <x v="0"/>
    <x v="1"/>
    <x v="1"/>
    <s v="No"/>
    <n v="0"/>
    <n v="1"/>
    <n v="4"/>
  </r>
  <r>
    <n v="3352"/>
    <x v="120"/>
    <x v="0"/>
    <d v="2024-06-26T00:00:00"/>
    <x v="0"/>
    <x v="0"/>
    <x v="2"/>
    <x v="0"/>
    <x v="0"/>
    <s v="Yes"/>
    <n v="20"/>
    <n v="7"/>
    <n v="58"/>
  </r>
  <r>
    <n v="3353"/>
    <x v="121"/>
    <x v="2"/>
    <d v="2024-06-27T00:00:00"/>
    <x v="1"/>
    <x v="2"/>
    <x v="0"/>
    <x v="1"/>
    <x v="1"/>
    <s v="Yes"/>
    <n v="20"/>
    <n v="10"/>
    <n v="20"/>
  </r>
  <r>
    <n v="3354"/>
    <x v="122"/>
    <x v="1"/>
    <d v="2024-06-28T00:00:00"/>
    <x v="0"/>
    <x v="1"/>
    <x v="1"/>
    <x v="1"/>
    <x v="1"/>
    <s v="No"/>
    <n v="0"/>
    <n v="0"/>
    <n v="5"/>
  </r>
  <r>
    <n v="3355"/>
    <x v="123"/>
    <x v="0"/>
    <d v="2024-06-29T00:00:00"/>
    <x v="1"/>
    <x v="0"/>
    <x v="0"/>
    <x v="0"/>
    <x v="0"/>
    <s v="Yes"/>
    <n v="20"/>
    <n v="20"/>
    <n v="45"/>
  </r>
  <r>
    <n v="3356"/>
    <x v="124"/>
    <x v="2"/>
    <d v="2024-06-30T00:00:00"/>
    <x v="0"/>
    <x v="2"/>
    <x v="2"/>
    <x v="1"/>
    <x v="1"/>
    <s v="Yes"/>
    <n v="20"/>
    <n v="15"/>
    <n v="15"/>
  </r>
  <r>
    <n v="3357"/>
    <x v="125"/>
    <x v="1"/>
    <d v="2024-07-01T00:00:00"/>
    <x v="1"/>
    <x v="1"/>
    <x v="0"/>
    <x v="1"/>
    <x v="1"/>
    <s v="No"/>
    <n v="0"/>
    <n v="1"/>
    <n v="4"/>
  </r>
  <r>
    <n v="3358"/>
    <x v="126"/>
    <x v="0"/>
    <d v="2024-07-02T00:00:00"/>
    <x v="0"/>
    <x v="0"/>
    <x v="1"/>
    <x v="0"/>
    <x v="0"/>
    <s v="Yes"/>
    <n v="20"/>
    <n v="3"/>
    <n v="62"/>
  </r>
  <r>
    <n v="3359"/>
    <x v="127"/>
    <x v="2"/>
    <d v="2024-07-03T00:00:00"/>
    <x v="1"/>
    <x v="2"/>
    <x v="0"/>
    <x v="1"/>
    <x v="1"/>
    <s v="Yes"/>
    <n v="20"/>
    <n v="10"/>
    <n v="20"/>
  </r>
  <r>
    <n v="3360"/>
    <x v="128"/>
    <x v="1"/>
    <d v="2024-07-04T00:00:00"/>
    <x v="0"/>
    <x v="1"/>
    <x v="2"/>
    <x v="1"/>
    <x v="1"/>
    <s v="No"/>
    <n v="0"/>
    <n v="0"/>
    <n v="5"/>
  </r>
  <r>
    <n v="3361"/>
    <x v="129"/>
    <x v="0"/>
    <d v="2024-07-05T00:00:00"/>
    <x v="1"/>
    <x v="0"/>
    <x v="0"/>
    <x v="0"/>
    <x v="0"/>
    <s v="Yes"/>
    <n v="20"/>
    <n v="15"/>
    <n v="50"/>
  </r>
  <r>
    <n v="3362"/>
    <x v="130"/>
    <x v="2"/>
    <d v="2024-07-06T00:00:00"/>
    <x v="0"/>
    <x v="2"/>
    <x v="1"/>
    <x v="1"/>
    <x v="1"/>
    <s v="Yes"/>
    <n v="20"/>
    <n v="15"/>
    <n v="15"/>
  </r>
  <r>
    <n v="3363"/>
    <x v="131"/>
    <x v="1"/>
    <d v="2024-07-07T00:00:00"/>
    <x v="1"/>
    <x v="1"/>
    <x v="0"/>
    <x v="1"/>
    <x v="1"/>
    <s v="No"/>
    <n v="0"/>
    <n v="1"/>
    <n v="4"/>
  </r>
  <r>
    <n v="3364"/>
    <x v="132"/>
    <x v="0"/>
    <d v="2024-07-08T00:00:00"/>
    <x v="0"/>
    <x v="0"/>
    <x v="2"/>
    <x v="0"/>
    <x v="0"/>
    <s v="Yes"/>
    <n v="20"/>
    <n v="7"/>
    <n v="58"/>
  </r>
  <r>
    <n v="3365"/>
    <x v="133"/>
    <x v="2"/>
    <d v="2024-07-09T00:00:00"/>
    <x v="1"/>
    <x v="2"/>
    <x v="0"/>
    <x v="1"/>
    <x v="1"/>
    <s v="Yes"/>
    <n v="20"/>
    <n v="10"/>
    <n v="20"/>
  </r>
  <r>
    <n v="3366"/>
    <x v="134"/>
    <x v="1"/>
    <d v="2024-07-10T00:00:00"/>
    <x v="0"/>
    <x v="1"/>
    <x v="0"/>
    <x v="1"/>
    <x v="1"/>
    <s v="No"/>
    <n v="0"/>
    <n v="0"/>
    <n v="5"/>
  </r>
  <r>
    <n v="3367"/>
    <x v="135"/>
    <x v="0"/>
    <d v="2024-07-11T00:00:00"/>
    <x v="1"/>
    <x v="0"/>
    <x v="2"/>
    <x v="0"/>
    <x v="0"/>
    <s v="Yes"/>
    <n v="20"/>
    <n v="7"/>
    <n v="58"/>
  </r>
  <r>
    <n v="3368"/>
    <x v="136"/>
    <x v="2"/>
    <d v="2024-07-12T00:00:00"/>
    <x v="0"/>
    <x v="2"/>
    <x v="1"/>
    <x v="1"/>
    <x v="1"/>
    <s v="Yes"/>
    <n v="20"/>
    <n v="10"/>
    <n v="20"/>
  </r>
  <r>
    <n v="3369"/>
    <x v="137"/>
    <x v="1"/>
    <d v="2024-07-13T00:00:00"/>
    <x v="1"/>
    <x v="1"/>
    <x v="2"/>
    <x v="1"/>
    <x v="1"/>
    <s v="No"/>
    <n v="0"/>
    <n v="1"/>
    <n v="4"/>
  </r>
  <r>
    <n v="3370"/>
    <x v="138"/>
    <x v="0"/>
    <d v="2024-07-14T00:00:00"/>
    <x v="0"/>
    <x v="0"/>
    <x v="0"/>
    <x v="0"/>
    <x v="0"/>
    <s v="Yes"/>
    <n v="20"/>
    <n v="15"/>
    <n v="50"/>
  </r>
  <r>
    <n v="3371"/>
    <x v="139"/>
    <x v="2"/>
    <d v="2024-07-15T00:00:00"/>
    <x v="1"/>
    <x v="2"/>
    <x v="0"/>
    <x v="1"/>
    <x v="1"/>
    <s v="Yes"/>
    <n v="20"/>
    <n v="5"/>
    <n v="25"/>
  </r>
  <r>
    <n v="3372"/>
    <x v="140"/>
    <x v="1"/>
    <d v="2024-07-16T00:00:00"/>
    <x v="0"/>
    <x v="1"/>
    <x v="1"/>
    <x v="1"/>
    <x v="1"/>
    <s v="No"/>
    <n v="0"/>
    <n v="0"/>
    <n v="5"/>
  </r>
  <r>
    <n v="3373"/>
    <x v="141"/>
    <x v="0"/>
    <d v="2024-07-17T00:00:00"/>
    <x v="1"/>
    <x v="0"/>
    <x v="2"/>
    <x v="0"/>
    <x v="0"/>
    <s v="Yes"/>
    <n v="20"/>
    <n v="20"/>
    <n v="45"/>
  </r>
  <r>
    <n v="3374"/>
    <x v="142"/>
    <x v="2"/>
    <d v="2024-07-18T00:00:00"/>
    <x v="0"/>
    <x v="2"/>
    <x v="2"/>
    <x v="1"/>
    <x v="1"/>
    <s v="Yes"/>
    <n v="20"/>
    <n v="12"/>
    <n v="18"/>
  </r>
  <r>
    <n v="3375"/>
    <x v="143"/>
    <x v="1"/>
    <d v="2024-07-19T00:00:00"/>
    <x v="1"/>
    <x v="1"/>
    <x v="0"/>
    <x v="1"/>
    <x v="1"/>
    <s v="No"/>
    <n v="0"/>
    <n v="2"/>
    <n v="3"/>
  </r>
  <r>
    <n v="3376"/>
    <x v="144"/>
    <x v="0"/>
    <d v="2024-07-20T00:00:00"/>
    <x v="0"/>
    <x v="0"/>
    <x v="1"/>
    <x v="0"/>
    <x v="0"/>
    <s v="Yes"/>
    <n v="20"/>
    <n v="5"/>
    <n v="60"/>
  </r>
  <r>
    <n v="3377"/>
    <x v="145"/>
    <x v="2"/>
    <d v="2024-07-21T00:00:00"/>
    <x v="1"/>
    <x v="2"/>
    <x v="0"/>
    <x v="1"/>
    <x v="1"/>
    <s v="Yes"/>
    <n v="20"/>
    <n v="10"/>
    <n v="20"/>
  </r>
  <r>
    <n v="3378"/>
    <x v="146"/>
    <x v="1"/>
    <d v="2024-07-22T00:00:00"/>
    <x v="0"/>
    <x v="1"/>
    <x v="2"/>
    <x v="1"/>
    <x v="1"/>
    <s v="No"/>
    <n v="0"/>
    <n v="0"/>
    <n v="5"/>
  </r>
  <r>
    <n v="3379"/>
    <x v="147"/>
    <x v="0"/>
    <d v="2024-07-23T00:00:00"/>
    <x v="1"/>
    <x v="0"/>
    <x v="0"/>
    <x v="0"/>
    <x v="0"/>
    <s v="Yes"/>
    <n v="20"/>
    <n v="3"/>
    <n v="62"/>
  </r>
  <r>
    <n v="3380"/>
    <x v="148"/>
    <x v="2"/>
    <d v="2024-07-24T00:00:00"/>
    <x v="0"/>
    <x v="2"/>
    <x v="1"/>
    <x v="1"/>
    <x v="1"/>
    <s v="Yes"/>
    <n v="20"/>
    <n v="15"/>
    <n v="15"/>
  </r>
  <r>
    <n v="3381"/>
    <x v="149"/>
    <x v="1"/>
    <d v="2024-07-25T00:00:00"/>
    <x v="1"/>
    <x v="1"/>
    <x v="0"/>
    <x v="1"/>
    <x v="1"/>
    <s v="No"/>
    <n v="0"/>
    <n v="1"/>
    <n v="4"/>
  </r>
  <r>
    <n v="3382"/>
    <x v="150"/>
    <x v="0"/>
    <d v="2024-07-26T00:00:00"/>
    <x v="0"/>
    <x v="0"/>
    <x v="2"/>
    <x v="0"/>
    <x v="0"/>
    <s v="Yes"/>
    <n v="20"/>
    <n v="7"/>
    <n v="58"/>
  </r>
  <r>
    <n v="3383"/>
    <x v="151"/>
    <x v="2"/>
    <d v="2024-07-27T00:00:00"/>
    <x v="1"/>
    <x v="2"/>
    <x v="0"/>
    <x v="1"/>
    <x v="1"/>
    <s v="Yes"/>
    <n v="20"/>
    <n v="10"/>
    <n v="20"/>
  </r>
  <r>
    <n v="3384"/>
    <x v="152"/>
    <x v="1"/>
    <d v="2024-07-28T00:00:00"/>
    <x v="0"/>
    <x v="1"/>
    <x v="1"/>
    <x v="1"/>
    <x v="1"/>
    <s v="No"/>
    <n v="0"/>
    <n v="0"/>
    <n v="5"/>
  </r>
  <r>
    <n v="3385"/>
    <x v="153"/>
    <x v="0"/>
    <d v="2024-07-29T00:00:00"/>
    <x v="1"/>
    <x v="0"/>
    <x v="0"/>
    <x v="0"/>
    <x v="0"/>
    <s v="Yes"/>
    <n v="20"/>
    <n v="20"/>
    <n v="45"/>
  </r>
  <r>
    <n v="3386"/>
    <x v="154"/>
    <x v="2"/>
    <d v="2024-07-30T00:00:00"/>
    <x v="0"/>
    <x v="2"/>
    <x v="2"/>
    <x v="1"/>
    <x v="1"/>
    <s v="Yes"/>
    <n v="20"/>
    <n v="15"/>
    <n v="15"/>
  </r>
  <r>
    <n v="3387"/>
    <x v="155"/>
    <x v="1"/>
    <d v="2024-07-31T00:00:00"/>
    <x v="1"/>
    <x v="1"/>
    <x v="0"/>
    <x v="1"/>
    <x v="1"/>
    <s v="No"/>
    <n v="0"/>
    <n v="1"/>
    <n v="4"/>
  </r>
  <r>
    <n v="3388"/>
    <x v="156"/>
    <x v="0"/>
    <d v="2024-08-01T00:00:00"/>
    <x v="0"/>
    <x v="0"/>
    <x v="1"/>
    <x v="0"/>
    <x v="0"/>
    <s v="Yes"/>
    <n v="20"/>
    <n v="3"/>
    <n v="62"/>
  </r>
  <r>
    <n v="3389"/>
    <x v="157"/>
    <x v="2"/>
    <d v="2024-08-02T00:00:00"/>
    <x v="1"/>
    <x v="2"/>
    <x v="0"/>
    <x v="1"/>
    <x v="1"/>
    <s v="Yes"/>
    <n v="20"/>
    <n v="10"/>
    <n v="20"/>
  </r>
  <r>
    <n v="3390"/>
    <x v="158"/>
    <x v="1"/>
    <d v="2024-08-03T00:00:00"/>
    <x v="0"/>
    <x v="1"/>
    <x v="2"/>
    <x v="1"/>
    <x v="1"/>
    <s v="No"/>
    <n v="0"/>
    <n v="0"/>
    <n v="5"/>
  </r>
  <r>
    <n v="3391"/>
    <x v="58"/>
    <x v="0"/>
    <d v="2024-08-04T00:00:00"/>
    <x v="1"/>
    <x v="0"/>
    <x v="0"/>
    <x v="0"/>
    <x v="0"/>
    <s v="Yes"/>
    <n v="20"/>
    <n v="15"/>
    <n v="50"/>
  </r>
  <r>
    <n v="3392"/>
    <x v="159"/>
    <x v="2"/>
    <d v="2024-08-05T00:00:00"/>
    <x v="0"/>
    <x v="2"/>
    <x v="1"/>
    <x v="1"/>
    <x v="1"/>
    <s v="Yes"/>
    <n v="20"/>
    <n v="15"/>
    <n v="15"/>
  </r>
  <r>
    <n v="3393"/>
    <x v="160"/>
    <x v="1"/>
    <d v="2024-08-06T00:00:00"/>
    <x v="1"/>
    <x v="1"/>
    <x v="0"/>
    <x v="1"/>
    <x v="1"/>
    <s v="No"/>
    <n v="0"/>
    <n v="1"/>
    <n v="4"/>
  </r>
  <r>
    <n v="3394"/>
    <x v="161"/>
    <x v="0"/>
    <d v="2024-08-07T00:00:00"/>
    <x v="0"/>
    <x v="0"/>
    <x v="2"/>
    <x v="0"/>
    <x v="0"/>
    <s v="Yes"/>
    <n v="20"/>
    <n v="7"/>
    <n v="58"/>
  </r>
  <r>
    <n v="3395"/>
    <x v="162"/>
    <x v="2"/>
    <d v="2024-08-08T00:00:00"/>
    <x v="1"/>
    <x v="2"/>
    <x v="0"/>
    <x v="1"/>
    <x v="1"/>
    <s v="Yes"/>
    <n v="20"/>
    <n v="10"/>
    <n v="20"/>
  </r>
  <r>
    <n v="3396"/>
    <x v="163"/>
    <x v="1"/>
    <d v="2024-08-09T00:00:00"/>
    <x v="0"/>
    <x v="1"/>
    <x v="1"/>
    <x v="1"/>
    <x v="1"/>
    <s v="No"/>
    <n v="0"/>
    <n v="0"/>
    <n v="5"/>
  </r>
  <r>
    <n v="3397"/>
    <x v="90"/>
    <x v="0"/>
    <d v="2024-08-10T00:00:00"/>
    <x v="1"/>
    <x v="0"/>
    <x v="0"/>
    <x v="0"/>
    <x v="0"/>
    <s v="Yes"/>
    <n v="20"/>
    <n v="20"/>
    <n v="45"/>
  </r>
  <r>
    <n v="3398"/>
    <x v="164"/>
    <x v="2"/>
    <d v="2024-08-11T00:00:00"/>
    <x v="0"/>
    <x v="2"/>
    <x v="2"/>
    <x v="1"/>
    <x v="1"/>
    <s v="Yes"/>
    <n v="20"/>
    <n v="15"/>
    <n v="15"/>
  </r>
  <r>
    <n v="3399"/>
    <x v="165"/>
    <x v="1"/>
    <d v="2024-08-12T00:00:00"/>
    <x v="1"/>
    <x v="1"/>
    <x v="0"/>
    <x v="1"/>
    <x v="1"/>
    <s v="No"/>
    <n v="0"/>
    <n v="1"/>
    <n v="4"/>
  </r>
  <r>
    <n v="3400"/>
    <x v="166"/>
    <x v="0"/>
    <d v="2024-08-13T00:00:00"/>
    <x v="0"/>
    <x v="0"/>
    <x v="1"/>
    <x v="0"/>
    <x v="0"/>
    <s v="Yes"/>
    <n v="20"/>
    <n v="5"/>
    <n v="60"/>
  </r>
  <r>
    <n v="3401"/>
    <x v="167"/>
    <x v="2"/>
    <d v="2024-08-14T00:00:00"/>
    <x v="1"/>
    <x v="2"/>
    <x v="0"/>
    <x v="1"/>
    <x v="1"/>
    <s v="Yes"/>
    <n v="20"/>
    <n v="10"/>
    <n v="20"/>
  </r>
  <r>
    <n v="3402"/>
    <x v="168"/>
    <x v="1"/>
    <d v="2024-08-15T00:00:00"/>
    <x v="0"/>
    <x v="1"/>
    <x v="2"/>
    <x v="1"/>
    <x v="1"/>
    <s v="No"/>
    <n v="0"/>
    <n v="0"/>
    <n v="5"/>
  </r>
  <r>
    <n v="3403"/>
    <x v="169"/>
    <x v="0"/>
    <d v="2024-08-16T00:00:00"/>
    <x v="1"/>
    <x v="0"/>
    <x v="0"/>
    <x v="0"/>
    <x v="0"/>
    <s v="Yes"/>
    <n v="20"/>
    <n v="3"/>
    <n v="62"/>
  </r>
  <r>
    <n v="3404"/>
    <x v="170"/>
    <x v="2"/>
    <d v="2024-08-17T00:00:00"/>
    <x v="0"/>
    <x v="2"/>
    <x v="1"/>
    <x v="1"/>
    <x v="1"/>
    <s v="Yes"/>
    <n v="20"/>
    <n v="15"/>
    <n v="15"/>
  </r>
  <r>
    <n v="3405"/>
    <x v="171"/>
    <x v="1"/>
    <d v="2024-08-18T00:00:00"/>
    <x v="1"/>
    <x v="1"/>
    <x v="0"/>
    <x v="1"/>
    <x v="1"/>
    <s v="No"/>
    <n v="0"/>
    <n v="1"/>
    <n v="4"/>
  </r>
  <r>
    <n v="3406"/>
    <x v="172"/>
    <x v="1"/>
    <d v="2024-08-19T00:00:00"/>
    <x v="0"/>
    <x v="1"/>
    <x v="0"/>
    <x v="1"/>
    <x v="1"/>
    <s v="No"/>
    <n v="0"/>
    <n v="0"/>
    <n v="5"/>
  </r>
  <r>
    <n v="3407"/>
    <x v="173"/>
    <x v="0"/>
    <d v="2024-08-20T00:00:00"/>
    <x v="1"/>
    <x v="0"/>
    <x v="2"/>
    <x v="0"/>
    <x v="0"/>
    <s v="Yes"/>
    <n v="20"/>
    <n v="7"/>
    <n v="58"/>
  </r>
  <r>
    <n v="3408"/>
    <x v="174"/>
    <x v="2"/>
    <d v="2024-08-21T00:00:00"/>
    <x v="0"/>
    <x v="2"/>
    <x v="1"/>
    <x v="1"/>
    <x v="1"/>
    <s v="Yes"/>
    <n v="20"/>
    <n v="10"/>
    <n v="20"/>
  </r>
  <r>
    <n v="3409"/>
    <x v="175"/>
    <x v="1"/>
    <d v="2024-08-22T00:00:00"/>
    <x v="1"/>
    <x v="1"/>
    <x v="2"/>
    <x v="1"/>
    <x v="1"/>
    <s v="No"/>
    <n v="0"/>
    <n v="1"/>
    <n v="4"/>
  </r>
  <r>
    <n v="3410"/>
    <x v="176"/>
    <x v="0"/>
    <d v="2024-08-23T00:00:00"/>
    <x v="0"/>
    <x v="0"/>
    <x v="0"/>
    <x v="0"/>
    <x v="0"/>
    <s v="Yes"/>
    <n v="20"/>
    <n v="15"/>
    <n v="50"/>
  </r>
  <r>
    <n v="3411"/>
    <x v="177"/>
    <x v="2"/>
    <d v="2024-08-24T00:00:00"/>
    <x v="1"/>
    <x v="2"/>
    <x v="0"/>
    <x v="1"/>
    <x v="1"/>
    <s v="Yes"/>
    <n v="20"/>
    <n v="5"/>
    <n v="25"/>
  </r>
  <r>
    <n v="3412"/>
    <x v="178"/>
    <x v="1"/>
    <d v="2024-08-25T00:00:00"/>
    <x v="0"/>
    <x v="1"/>
    <x v="1"/>
    <x v="1"/>
    <x v="1"/>
    <s v="No"/>
    <n v="0"/>
    <n v="0"/>
    <n v="5"/>
  </r>
  <r>
    <n v="3413"/>
    <x v="179"/>
    <x v="0"/>
    <d v="2024-08-26T00:00:00"/>
    <x v="1"/>
    <x v="0"/>
    <x v="2"/>
    <x v="0"/>
    <x v="0"/>
    <s v="Yes"/>
    <n v="20"/>
    <n v="20"/>
    <n v="45"/>
  </r>
  <r>
    <n v="3414"/>
    <x v="180"/>
    <x v="2"/>
    <d v="2024-08-27T00:00:00"/>
    <x v="0"/>
    <x v="2"/>
    <x v="2"/>
    <x v="1"/>
    <x v="1"/>
    <s v="Yes"/>
    <n v="20"/>
    <n v="12"/>
    <n v="18"/>
  </r>
  <r>
    <n v="3415"/>
    <x v="181"/>
    <x v="1"/>
    <d v="2024-08-28T00:00:00"/>
    <x v="1"/>
    <x v="1"/>
    <x v="0"/>
    <x v="1"/>
    <x v="1"/>
    <s v="No"/>
    <n v="0"/>
    <n v="2"/>
    <n v="3"/>
  </r>
  <r>
    <n v="3416"/>
    <x v="182"/>
    <x v="0"/>
    <d v="2024-08-29T00:00:00"/>
    <x v="0"/>
    <x v="0"/>
    <x v="1"/>
    <x v="0"/>
    <x v="0"/>
    <s v="Yes"/>
    <n v="20"/>
    <n v="5"/>
    <n v="60"/>
  </r>
  <r>
    <n v="3417"/>
    <x v="183"/>
    <x v="2"/>
    <d v="2024-08-30T00:00:00"/>
    <x v="1"/>
    <x v="2"/>
    <x v="0"/>
    <x v="1"/>
    <x v="1"/>
    <s v="Yes"/>
    <n v="20"/>
    <n v="10"/>
    <n v="20"/>
  </r>
  <r>
    <n v="3418"/>
    <x v="184"/>
    <x v="1"/>
    <d v="2024-08-31T00:00:00"/>
    <x v="0"/>
    <x v="1"/>
    <x v="2"/>
    <x v="1"/>
    <x v="1"/>
    <s v="No"/>
    <n v="0"/>
    <n v="0"/>
    <n v="5"/>
  </r>
  <r>
    <n v="3419"/>
    <x v="185"/>
    <x v="0"/>
    <d v="2024-09-01T00:00:00"/>
    <x v="1"/>
    <x v="0"/>
    <x v="0"/>
    <x v="0"/>
    <x v="0"/>
    <s v="Yes"/>
    <n v="20"/>
    <n v="3"/>
    <n v="62"/>
  </r>
  <r>
    <n v="3420"/>
    <x v="186"/>
    <x v="2"/>
    <d v="2024-09-02T00:00:00"/>
    <x v="0"/>
    <x v="2"/>
    <x v="1"/>
    <x v="1"/>
    <x v="1"/>
    <s v="Yes"/>
    <n v="20"/>
    <n v="15"/>
    <n v="15"/>
  </r>
  <r>
    <n v="3421"/>
    <x v="15"/>
    <x v="1"/>
    <d v="2024-09-03T00:00:00"/>
    <x v="1"/>
    <x v="1"/>
    <x v="0"/>
    <x v="1"/>
    <x v="1"/>
    <s v="No"/>
    <n v="0"/>
    <n v="1"/>
    <n v="4"/>
  </r>
  <r>
    <n v="3422"/>
    <x v="187"/>
    <x v="0"/>
    <d v="2024-09-04T00:00:00"/>
    <x v="0"/>
    <x v="0"/>
    <x v="2"/>
    <x v="0"/>
    <x v="0"/>
    <s v="Yes"/>
    <n v="20"/>
    <n v="7"/>
    <n v="58"/>
  </r>
  <r>
    <n v="3423"/>
    <x v="188"/>
    <x v="2"/>
    <d v="2024-09-05T00:00:00"/>
    <x v="1"/>
    <x v="2"/>
    <x v="0"/>
    <x v="1"/>
    <x v="1"/>
    <s v="Yes"/>
    <n v="20"/>
    <n v="10"/>
    <n v="20"/>
  </r>
  <r>
    <n v="3424"/>
    <x v="14"/>
    <x v="1"/>
    <d v="2024-09-06T00:00:00"/>
    <x v="0"/>
    <x v="1"/>
    <x v="1"/>
    <x v="1"/>
    <x v="1"/>
    <s v="No"/>
    <n v="0"/>
    <n v="0"/>
    <n v="5"/>
  </r>
  <r>
    <n v="3425"/>
    <x v="189"/>
    <x v="0"/>
    <d v="2024-09-07T00:00:00"/>
    <x v="1"/>
    <x v="0"/>
    <x v="0"/>
    <x v="0"/>
    <x v="0"/>
    <s v="Yes"/>
    <n v="20"/>
    <n v="20"/>
    <n v="45"/>
  </r>
  <r>
    <n v="3426"/>
    <x v="167"/>
    <x v="2"/>
    <d v="2024-09-08T00:00:00"/>
    <x v="0"/>
    <x v="2"/>
    <x v="2"/>
    <x v="1"/>
    <x v="1"/>
    <s v="Yes"/>
    <n v="20"/>
    <n v="15"/>
    <n v="15"/>
  </r>
  <r>
    <n v="3427"/>
    <x v="190"/>
    <x v="1"/>
    <d v="2024-09-09T00:00:00"/>
    <x v="1"/>
    <x v="1"/>
    <x v="0"/>
    <x v="1"/>
    <x v="1"/>
    <s v="No"/>
    <n v="0"/>
    <n v="1"/>
    <n v="4"/>
  </r>
  <r>
    <n v="3428"/>
    <x v="191"/>
    <x v="0"/>
    <d v="2024-09-10T00:00:00"/>
    <x v="0"/>
    <x v="0"/>
    <x v="1"/>
    <x v="0"/>
    <x v="0"/>
    <s v="Yes"/>
    <n v="20"/>
    <n v="3"/>
    <n v="62"/>
  </r>
  <r>
    <n v="3429"/>
    <x v="192"/>
    <x v="2"/>
    <d v="2024-09-11T00:00:00"/>
    <x v="1"/>
    <x v="2"/>
    <x v="0"/>
    <x v="1"/>
    <x v="1"/>
    <s v="Yes"/>
    <n v="20"/>
    <n v="10"/>
    <n v="20"/>
  </r>
  <r>
    <n v="3430"/>
    <x v="193"/>
    <x v="1"/>
    <d v="2024-09-12T00:00:00"/>
    <x v="0"/>
    <x v="1"/>
    <x v="2"/>
    <x v="1"/>
    <x v="1"/>
    <s v="No"/>
    <n v="0"/>
    <n v="0"/>
    <n v="5"/>
  </r>
  <r>
    <n v="3431"/>
    <x v="194"/>
    <x v="0"/>
    <d v="2024-09-13T00:00:00"/>
    <x v="1"/>
    <x v="0"/>
    <x v="0"/>
    <x v="0"/>
    <x v="0"/>
    <s v="Yes"/>
    <n v="20"/>
    <n v="15"/>
    <n v="50"/>
  </r>
  <r>
    <n v="3432"/>
    <x v="195"/>
    <x v="2"/>
    <d v="2024-09-14T00:00:00"/>
    <x v="0"/>
    <x v="2"/>
    <x v="1"/>
    <x v="1"/>
    <x v="1"/>
    <s v="Yes"/>
    <n v="20"/>
    <n v="15"/>
    <n v="15"/>
  </r>
  <r>
    <n v="3433"/>
    <x v="196"/>
    <x v="1"/>
    <d v="2024-09-15T00:00:00"/>
    <x v="1"/>
    <x v="1"/>
    <x v="0"/>
    <x v="1"/>
    <x v="1"/>
    <s v="No"/>
    <n v="0"/>
    <n v="1"/>
    <n v="4"/>
  </r>
  <r>
    <n v="3434"/>
    <x v="197"/>
    <x v="0"/>
    <d v="2024-09-16T00:00:00"/>
    <x v="0"/>
    <x v="0"/>
    <x v="2"/>
    <x v="0"/>
    <x v="0"/>
    <s v="Yes"/>
    <n v="20"/>
    <n v="7"/>
    <n v="58"/>
  </r>
  <r>
    <n v="3435"/>
    <x v="198"/>
    <x v="2"/>
    <d v="2024-09-17T00:00:00"/>
    <x v="1"/>
    <x v="2"/>
    <x v="0"/>
    <x v="1"/>
    <x v="1"/>
    <s v="Yes"/>
    <n v="20"/>
    <n v="10"/>
    <n v="20"/>
  </r>
  <r>
    <n v="3436"/>
    <x v="199"/>
    <x v="1"/>
    <d v="2024-09-18T00:00:00"/>
    <x v="0"/>
    <x v="1"/>
    <x v="0"/>
    <x v="1"/>
    <x v="1"/>
    <s v="No"/>
    <n v="0"/>
    <n v="0"/>
    <n v="5"/>
  </r>
  <r>
    <n v="3437"/>
    <x v="200"/>
    <x v="0"/>
    <d v="2024-09-19T00:00:00"/>
    <x v="1"/>
    <x v="0"/>
    <x v="2"/>
    <x v="0"/>
    <x v="0"/>
    <s v="Yes"/>
    <n v="20"/>
    <n v="7"/>
    <n v="58"/>
  </r>
  <r>
    <n v="3438"/>
    <x v="201"/>
    <x v="2"/>
    <d v="2024-09-20T00:00:00"/>
    <x v="0"/>
    <x v="2"/>
    <x v="1"/>
    <x v="1"/>
    <x v="1"/>
    <s v="Yes"/>
    <n v="20"/>
    <n v="10"/>
    <n v="20"/>
  </r>
  <r>
    <n v="3439"/>
    <x v="202"/>
    <x v="1"/>
    <d v="2024-09-21T00:00:00"/>
    <x v="1"/>
    <x v="1"/>
    <x v="2"/>
    <x v="1"/>
    <x v="1"/>
    <s v="No"/>
    <n v="0"/>
    <n v="1"/>
    <n v="4"/>
  </r>
  <r>
    <n v="3440"/>
    <x v="203"/>
    <x v="0"/>
    <d v="2024-09-22T00:00:00"/>
    <x v="0"/>
    <x v="0"/>
    <x v="0"/>
    <x v="0"/>
    <x v="0"/>
    <s v="Yes"/>
    <n v="20"/>
    <n v="15"/>
    <n v="50"/>
  </r>
  <r>
    <n v="3441"/>
    <x v="204"/>
    <x v="2"/>
    <d v="2024-09-23T00:00:00"/>
    <x v="1"/>
    <x v="2"/>
    <x v="0"/>
    <x v="1"/>
    <x v="1"/>
    <s v="Yes"/>
    <n v="20"/>
    <n v="5"/>
    <n v="25"/>
  </r>
  <r>
    <n v="3442"/>
    <x v="205"/>
    <x v="1"/>
    <d v="2024-09-24T00:00:00"/>
    <x v="0"/>
    <x v="1"/>
    <x v="1"/>
    <x v="1"/>
    <x v="1"/>
    <s v="No"/>
    <n v="0"/>
    <n v="0"/>
    <n v="5"/>
  </r>
  <r>
    <n v="3443"/>
    <x v="206"/>
    <x v="0"/>
    <d v="2024-09-25T00:00:00"/>
    <x v="1"/>
    <x v="0"/>
    <x v="2"/>
    <x v="0"/>
    <x v="0"/>
    <s v="Yes"/>
    <n v="20"/>
    <n v="20"/>
    <n v="45"/>
  </r>
  <r>
    <n v="3444"/>
    <x v="207"/>
    <x v="2"/>
    <d v="2024-09-26T00:00:00"/>
    <x v="0"/>
    <x v="2"/>
    <x v="2"/>
    <x v="1"/>
    <x v="1"/>
    <s v="Yes"/>
    <n v="20"/>
    <n v="12"/>
    <n v="18"/>
  </r>
  <r>
    <n v="3445"/>
    <x v="37"/>
    <x v="1"/>
    <d v="2024-09-27T00:00:00"/>
    <x v="1"/>
    <x v="1"/>
    <x v="0"/>
    <x v="1"/>
    <x v="1"/>
    <s v="No"/>
    <n v="0"/>
    <n v="2"/>
    <n v="3"/>
  </r>
  <r>
    <n v="3446"/>
    <x v="208"/>
    <x v="0"/>
    <d v="2024-09-28T00:00:00"/>
    <x v="0"/>
    <x v="0"/>
    <x v="1"/>
    <x v="0"/>
    <x v="0"/>
    <s v="Yes"/>
    <n v="20"/>
    <n v="5"/>
    <n v="60"/>
  </r>
  <r>
    <n v="3447"/>
    <x v="209"/>
    <x v="2"/>
    <d v="2024-09-29T00:00:00"/>
    <x v="1"/>
    <x v="2"/>
    <x v="0"/>
    <x v="1"/>
    <x v="1"/>
    <s v="Yes"/>
    <n v="20"/>
    <n v="10"/>
    <n v="20"/>
  </r>
  <r>
    <n v="3448"/>
    <x v="210"/>
    <x v="1"/>
    <d v="2024-09-30T00:00:00"/>
    <x v="0"/>
    <x v="1"/>
    <x v="2"/>
    <x v="1"/>
    <x v="1"/>
    <s v="No"/>
    <n v="0"/>
    <n v="0"/>
    <n v="5"/>
  </r>
  <r>
    <n v="3449"/>
    <x v="211"/>
    <x v="0"/>
    <d v="2024-10-01T00:00:00"/>
    <x v="1"/>
    <x v="0"/>
    <x v="0"/>
    <x v="0"/>
    <x v="0"/>
    <s v="Yes"/>
    <n v="20"/>
    <n v="3"/>
    <n v="62"/>
  </r>
  <r>
    <n v="3450"/>
    <x v="212"/>
    <x v="2"/>
    <d v="2024-10-02T00:00:00"/>
    <x v="0"/>
    <x v="2"/>
    <x v="1"/>
    <x v="1"/>
    <x v="1"/>
    <s v="Yes"/>
    <n v="20"/>
    <n v="15"/>
    <n v="15"/>
  </r>
  <r>
    <n v="3451"/>
    <x v="213"/>
    <x v="1"/>
    <d v="2024-10-03T00:00:00"/>
    <x v="1"/>
    <x v="1"/>
    <x v="0"/>
    <x v="1"/>
    <x v="1"/>
    <s v="No"/>
    <n v="0"/>
    <n v="1"/>
    <n v="4"/>
  </r>
  <r>
    <n v="3452"/>
    <x v="191"/>
    <x v="0"/>
    <d v="2024-10-04T00:00:00"/>
    <x v="0"/>
    <x v="0"/>
    <x v="2"/>
    <x v="0"/>
    <x v="0"/>
    <s v="Yes"/>
    <n v="20"/>
    <n v="7"/>
    <n v="58"/>
  </r>
  <r>
    <n v="3453"/>
    <x v="45"/>
    <x v="2"/>
    <d v="2024-10-05T00:00:00"/>
    <x v="1"/>
    <x v="2"/>
    <x v="0"/>
    <x v="1"/>
    <x v="1"/>
    <s v="Yes"/>
    <n v="20"/>
    <n v="10"/>
    <n v="20"/>
  </r>
  <r>
    <n v="3454"/>
    <x v="214"/>
    <x v="1"/>
    <d v="2024-10-06T00:00:00"/>
    <x v="0"/>
    <x v="1"/>
    <x v="1"/>
    <x v="1"/>
    <x v="1"/>
    <s v="No"/>
    <n v="0"/>
    <n v="0"/>
    <n v="5"/>
  </r>
  <r>
    <n v="3455"/>
    <x v="215"/>
    <x v="0"/>
    <d v="2024-10-07T00:00:00"/>
    <x v="1"/>
    <x v="0"/>
    <x v="0"/>
    <x v="0"/>
    <x v="0"/>
    <s v="Yes"/>
    <n v="20"/>
    <n v="20"/>
    <n v="45"/>
  </r>
  <r>
    <n v="3456"/>
    <x v="216"/>
    <x v="2"/>
    <d v="2024-10-08T00:00:00"/>
    <x v="0"/>
    <x v="2"/>
    <x v="2"/>
    <x v="1"/>
    <x v="1"/>
    <s v="Yes"/>
    <n v="20"/>
    <n v="15"/>
    <n v="15"/>
  </r>
  <r>
    <n v="3457"/>
    <x v="217"/>
    <x v="1"/>
    <d v="2024-10-09T00:00:00"/>
    <x v="1"/>
    <x v="1"/>
    <x v="0"/>
    <x v="1"/>
    <x v="1"/>
    <s v="No"/>
    <n v="0"/>
    <n v="1"/>
    <n v="4"/>
  </r>
  <r>
    <n v="3458"/>
    <x v="218"/>
    <x v="0"/>
    <d v="2024-10-10T00:00:00"/>
    <x v="0"/>
    <x v="0"/>
    <x v="1"/>
    <x v="0"/>
    <x v="0"/>
    <s v="Yes"/>
    <n v="20"/>
    <n v="3"/>
    <n v="62"/>
  </r>
  <r>
    <n v="3459"/>
    <x v="219"/>
    <x v="2"/>
    <d v="2024-10-11T00:00:00"/>
    <x v="1"/>
    <x v="2"/>
    <x v="0"/>
    <x v="1"/>
    <x v="1"/>
    <s v="Yes"/>
    <n v="20"/>
    <n v="10"/>
    <n v="20"/>
  </r>
  <r>
    <n v="3460"/>
    <x v="127"/>
    <x v="1"/>
    <d v="2024-10-12T00:00:00"/>
    <x v="0"/>
    <x v="1"/>
    <x v="2"/>
    <x v="1"/>
    <x v="1"/>
    <s v="No"/>
    <n v="0"/>
    <n v="0"/>
    <n v="5"/>
  </r>
  <r>
    <n v="3461"/>
    <x v="220"/>
    <x v="0"/>
    <d v="2024-10-13T00:00:00"/>
    <x v="1"/>
    <x v="0"/>
    <x v="0"/>
    <x v="0"/>
    <x v="0"/>
    <s v="Yes"/>
    <n v="20"/>
    <n v="15"/>
    <n v="50"/>
  </r>
  <r>
    <n v="3462"/>
    <x v="221"/>
    <x v="2"/>
    <d v="2024-10-14T00:00:00"/>
    <x v="0"/>
    <x v="2"/>
    <x v="1"/>
    <x v="1"/>
    <x v="1"/>
    <s v="Yes"/>
    <n v="20"/>
    <n v="15"/>
    <n v="15"/>
  </r>
  <r>
    <n v="3463"/>
    <x v="222"/>
    <x v="1"/>
    <d v="2024-10-15T00:00:00"/>
    <x v="1"/>
    <x v="1"/>
    <x v="0"/>
    <x v="1"/>
    <x v="1"/>
    <s v="No"/>
    <n v="0"/>
    <n v="1"/>
    <n v="4"/>
  </r>
  <r>
    <n v="3464"/>
    <x v="223"/>
    <x v="0"/>
    <d v="2024-10-16T00:00:00"/>
    <x v="0"/>
    <x v="0"/>
    <x v="2"/>
    <x v="0"/>
    <x v="0"/>
    <s v="Yes"/>
    <n v="20"/>
    <n v="7"/>
    <n v="58"/>
  </r>
  <r>
    <n v="3465"/>
    <x v="224"/>
    <x v="2"/>
    <d v="2024-10-17T00:00:00"/>
    <x v="1"/>
    <x v="2"/>
    <x v="0"/>
    <x v="1"/>
    <x v="1"/>
    <s v="Yes"/>
    <n v="20"/>
    <n v="10"/>
    <n v="20"/>
  </r>
  <r>
    <n v="3466"/>
    <x v="225"/>
    <x v="1"/>
    <d v="2024-10-18T00:00:00"/>
    <x v="0"/>
    <x v="1"/>
    <x v="1"/>
    <x v="1"/>
    <x v="1"/>
    <s v="No"/>
    <n v="0"/>
    <n v="0"/>
    <n v="5"/>
  </r>
  <r>
    <n v="3467"/>
    <x v="226"/>
    <x v="0"/>
    <d v="2024-10-19T00:00:00"/>
    <x v="1"/>
    <x v="0"/>
    <x v="0"/>
    <x v="0"/>
    <x v="0"/>
    <s v="Yes"/>
    <n v="20"/>
    <n v="15"/>
    <n v="50"/>
  </r>
  <r>
    <n v="3468"/>
    <x v="227"/>
    <x v="2"/>
    <d v="2024-10-20T00:00:00"/>
    <x v="0"/>
    <x v="2"/>
    <x v="2"/>
    <x v="1"/>
    <x v="1"/>
    <s v="Yes"/>
    <n v="20"/>
    <n v="12"/>
    <n v="18"/>
  </r>
  <r>
    <n v="3469"/>
    <x v="228"/>
    <x v="1"/>
    <d v="2024-10-21T00:00:00"/>
    <x v="1"/>
    <x v="1"/>
    <x v="0"/>
    <x v="1"/>
    <x v="1"/>
    <s v="No"/>
    <n v="0"/>
    <n v="2"/>
    <n v="3"/>
  </r>
  <r>
    <n v="3470"/>
    <x v="229"/>
    <x v="0"/>
    <d v="2024-10-22T00:00:00"/>
    <x v="0"/>
    <x v="0"/>
    <x v="1"/>
    <x v="0"/>
    <x v="0"/>
    <s v="Yes"/>
    <n v="20"/>
    <n v="5"/>
    <n v="60"/>
  </r>
  <r>
    <n v="3471"/>
    <x v="230"/>
    <x v="2"/>
    <d v="2024-10-23T00:00:00"/>
    <x v="1"/>
    <x v="2"/>
    <x v="0"/>
    <x v="1"/>
    <x v="1"/>
    <s v="Yes"/>
    <n v="20"/>
    <n v="10"/>
    <n v="20"/>
  </r>
  <r>
    <n v="3472"/>
    <x v="231"/>
    <x v="1"/>
    <d v="2024-10-24T00:00:00"/>
    <x v="0"/>
    <x v="1"/>
    <x v="2"/>
    <x v="1"/>
    <x v="1"/>
    <s v="No"/>
    <n v="0"/>
    <n v="0"/>
    <n v="5"/>
  </r>
  <r>
    <n v="3473"/>
    <x v="140"/>
    <x v="0"/>
    <d v="2024-10-25T00:00:00"/>
    <x v="1"/>
    <x v="0"/>
    <x v="0"/>
    <x v="0"/>
    <x v="0"/>
    <s v="Yes"/>
    <n v="20"/>
    <n v="3"/>
    <n v="62"/>
  </r>
  <r>
    <n v="3474"/>
    <x v="232"/>
    <x v="2"/>
    <d v="2024-10-26T00:00:00"/>
    <x v="0"/>
    <x v="2"/>
    <x v="1"/>
    <x v="1"/>
    <x v="1"/>
    <s v="Yes"/>
    <n v="20"/>
    <n v="15"/>
    <n v="15"/>
  </r>
  <r>
    <n v="3475"/>
    <x v="233"/>
    <x v="1"/>
    <d v="2024-10-27T00:00:00"/>
    <x v="1"/>
    <x v="1"/>
    <x v="0"/>
    <x v="1"/>
    <x v="1"/>
    <s v="No"/>
    <n v="0"/>
    <n v="1"/>
    <n v="4"/>
  </r>
  <r>
    <n v="3476"/>
    <x v="234"/>
    <x v="0"/>
    <d v="2024-10-28T00:00:00"/>
    <x v="0"/>
    <x v="0"/>
    <x v="2"/>
    <x v="0"/>
    <x v="0"/>
    <s v="Yes"/>
    <n v="20"/>
    <n v="7"/>
    <n v="58"/>
  </r>
  <r>
    <n v="3477"/>
    <x v="235"/>
    <x v="2"/>
    <d v="2024-10-29T00:00:00"/>
    <x v="1"/>
    <x v="2"/>
    <x v="0"/>
    <x v="1"/>
    <x v="1"/>
    <s v="Yes"/>
    <n v="20"/>
    <n v="10"/>
    <n v="20"/>
  </r>
  <r>
    <n v="3478"/>
    <x v="236"/>
    <x v="1"/>
    <d v="2024-10-30T00:00:00"/>
    <x v="0"/>
    <x v="1"/>
    <x v="1"/>
    <x v="1"/>
    <x v="1"/>
    <s v="No"/>
    <n v="0"/>
    <n v="0"/>
    <n v="5"/>
  </r>
  <r>
    <n v="3479"/>
    <x v="237"/>
    <x v="0"/>
    <d v="2024-10-31T00:00:00"/>
    <x v="1"/>
    <x v="0"/>
    <x v="0"/>
    <x v="0"/>
    <x v="0"/>
    <s v="Yes"/>
    <n v="20"/>
    <n v="20"/>
    <n v="45"/>
  </r>
  <r>
    <n v="3480"/>
    <x v="238"/>
    <x v="2"/>
    <d v="2024-11-01T00:00:00"/>
    <x v="0"/>
    <x v="2"/>
    <x v="2"/>
    <x v="1"/>
    <x v="1"/>
    <s v="Yes"/>
    <n v="20"/>
    <n v="15"/>
    <n v="15"/>
  </r>
  <r>
    <n v="3481"/>
    <x v="239"/>
    <x v="1"/>
    <d v="2024-11-02T00:00:00"/>
    <x v="1"/>
    <x v="1"/>
    <x v="0"/>
    <x v="1"/>
    <x v="1"/>
    <s v="No"/>
    <n v="0"/>
    <n v="1"/>
    <n v="4"/>
  </r>
  <r>
    <n v="3482"/>
    <x v="240"/>
    <x v="0"/>
    <d v="2024-11-03T00:00:00"/>
    <x v="0"/>
    <x v="0"/>
    <x v="1"/>
    <x v="0"/>
    <x v="0"/>
    <s v="Yes"/>
    <n v="20"/>
    <n v="3"/>
    <n v="62"/>
  </r>
  <r>
    <n v="3483"/>
    <x v="241"/>
    <x v="2"/>
    <d v="2024-11-04T00:00:00"/>
    <x v="1"/>
    <x v="2"/>
    <x v="0"/>
    <x v="1"/>
    <x v="1"/>
    <s v="Yes"/>
    <n v="20"/>
    <n v="10"/>
    <n v="20"/>
  </r>
  <r>
    <n v="3484"/>
    <x v="242"/>
    <x v="1"/>
    <d v="2024-11-05T00:00:00"/>
    <x v="0"/>
    <x v="1"/>
    <x v="2"/>
    <x v="1"/>
    <x v="1"/>
    <s v="No"/>
    <n v="0"/>
    <n v="0"/>
    <n v="5"/>
  </r>
  <r>
    <n v="3485"/>
    <x v="243"/>
    <x v="0"/>
    <d v="2024-11-06T00:00:00"/>
    <x v="1"/>
    <x v="0"/>
    <x v="0"/>
    <x v="0"/>
    <x v="0"/>
    <s v="Yes"/>
    <n v="20"/>
    <n v="15"/>
    <n v="50"/>
  </r>
  <r>
    <n v="3486"/>
    <x v="244"/>
    <x v="1"/>
    <d v="2024-11-07T00:00:00"/>
    <x v="0"/>
    <x v="1"/>
    <x v="0"/>
    <x v="1"/>
    <x v="1"/>
    <s v="No"/>
    <n v="0"/>
    <n v="0"/>
    <n v="5"/>
  </r>
  <r>
    <n v="3487"/>
    <x v="245"/>
    <x v="0"/>
    <d v="2024-11-08T00:00:00"/>
    <x v="1"/>
    <x v="0"/>
    <x v="2"/>
    <x v="0"/>
    <x v="0"/>
    <s v="Yes"/>
    <n v="20"/>
    <n v="7"/>
    <n v="58"/>
  </r>
  <r>
    <n v="3488"/>
    <x v="246"/>
    <x v="2"/>
    <d v="2024-11-09T00:00:00"/>
    <x v="0"/>
    <x v="2"/>
    <x v="1"/>
    <x v="1"/>
    <x v="1"/>
    <s v="Yes"/>
    <n v="20"/>
    <n v="10"/>
    <n v="20"/>
  </r>
  <r>
    <n v="3489"/>
    <x v="247"/>
    <x v="1"/>
    <d v="2024-11-10T00:00:00"/>
    <x v="1"/>
    <x v="1"/>
    <x v="2"/>
    <x v="1"/>
    <x v="1"/>
    <s v="No"/>
    <n v="0"/>
    <n v="1"/>
    <n v="4"/>
  </r>
  <r>
    <n v="3490"/>
    <x v="248"/>
    <x v="0"/>
    <d v="2024-11-11T00:00:00"/>
    <x v="0"/>
    <x v="0"/>
    <x v="0"/>
    <x v="0"/>
    <x v="0"/>
    <s v="Yes"/>
    <n v="20"/>
    <n v="15"/>
    <n v="50"/>
  </r>
  <r>
    <n v="3491"/>
    <x v="249"/>
    <x v="2"/>
    <d v="2024-11-12T00:00:00"/>
    <x v="1"/>
    <x v="2"/>
    <x v="0"/>
    <x v="1"/>
    <x v="1"/>
    <s v="Yes"/>
    <n v="20"/>
    <n v="5"/>
    <n v="25"/>
  </r>
  <r>
    <n v="3492"/>
    <x v="250"/>
    <x v="1"/>
    <d v="2024-11-13T00:00:00"/>
    <x v="0"/>
    <x v="1"/>
    <x v="1"/>
    <x v="1"/>
    <x v="1"/>
    <s v="No"/>
    <n v="0"/>
    <n v="0"/>
    <n v="5"/>
  </r>
  <r>
    <n v="3493"/>
    <x v="251"/>
    <x v="0"/>
    <d v="2024-11-14T00:00:00"/>
    <x v="1"/>
    <x v="0"/>
    <x v="2"/>
    <x v="0"/>
    <x v="0"/>
    <s v="Yes"/>
    <n v="20"/>
    <n v="20"/>
    <n v="45"/>
  </r>
  <r>
    <n v="3494"/>
    <x v="252"/>
    <x v="2"/>
    <d v="2024-11-15T00:00:00"/>
    <x v="0"/>
    <x v="2"/>
    <x v="2"/>
    <x v="1"/>
    <x v="1"/>
    <s v="Yes"/>
    <n v="20"/>
    <n v="12"/>
    <n v="18"/>
  </r>
  <r>
    <n v="3495"/>
    <x v="253"/>
    <x v="1"/>
    <d v="2024-11-16T00:00:00"/>
    <x v="1"/>
    <x v="1"/>
    <x v="0"/>
    <x v="1"/>
    <x v="1"/>
    <s v="No"/>
    <n v="0"/>
    <n v="2"/>
    <n v="3"/>
  </r>
  <r>
    <n v="3496"/>
    <x v="254"/>
    <x v="0"/>
    <d v="2024-11-17T00:00:00"/>
    <x v="0"/>
    <x v="0"/>
    <x v="1"/>
    <x v="0"/>
    <x v="0"/>
    <s v="Yes"/>
    <n v="20"/>
    <n v="5"/>
    <n v="60"/>
  </r>
  <r>
    <n v="3497"/>
    <x v="255"/>
    <x v="2"/>
    <d v="2024-11-18T00:00:00"/>
    <x v="1"/>
    <x v="2"/>
    <x v="0"/>
    <x v="1"/>
    <x v="1"/>
    <s v="Yes"/>
    <n v="20"/>
    <n v="10"/>
    <n v="20"/>
  </r>
  <r>
    <n v="3498"/>
    <x v="256"/>
    <x v="1"/>
    <d v="2024-11-19T00:00:00"/>
    <x v="0"/>
    <x v="1"/>
    <x v="2"/>
    <x v="1"/>
    <x v="1"/>
    <s v="No"/>
    <n v="0"/>
    <n v="0"/>
    <n v="5"/>
  </r>
  <r>
    <n v="3499"/>
    <x v="257"/>
    <x v="0"/>
    <d v="2024-11-20T00:00:00"/>
    <x v="1"/>
    <x v="0"/>
    <x v="0"/>
    <x v="0"/>
    <x v="0"/>
    <s v="Yes"/>
    <n v="20"/>
    <n v="3"/>
    <n v="62"/>
  </r>
  <r>
    <n v="3500"/>
    <x v="258"/>
    <x v="2"/>
    <d v="2024-11-21T00:00:00"/>
    <x v="0"/>
    <x v="2"/>
    <x v="1"/>
    <x v="1"/>
    <x v="1"/>
    <s v="Yes"/>
    <n v="20"/>
    <n v="15"/>
    <n v="15"/>
  </r>
  <r>
    <n v="3501"/>
    <x v="259"/>
    <x v="1"/>
    <d v="2024-11-22T00:00:00"/>
    <x v="1"/>
    <x v="1"/>
    <x v="0"/>
    <x v="1"/>
    <x v="1"/>
    <s v="No"/>
    <n v="0"/>
    <n v="1"/>
    <n v="4"/>
  </r>
  <r>
    <n v="3502"/>
    <x v="260"/>
    <x v="0"/>
    <d v="2024-11-23T00:00:00"/>
    <x v="0"/>
    <x v="0"/>
    <x v="2"/>
    <x v="0"/>
    <x v="0"/>
    <s v="Yes"/>
    <n v="20"/>
    <n v="7"/>
    <n v="58"/>
  </r>
  <r>
    <n v="3503"/>
    <x v="119"/>
    <x v="2"/>
    <d v="2024-11-24T00:00:00"/>
    <x v="1"/>
    <x v="2"/>
    <x v="0"/>
    <x v="1"/>
    <x v="1"/>
    <s v="Yes"/>
    <n v="20"/>
    <n v="10"/>
    <n v="20"/>
  </r>
  <r>
    <n v="3504"/>
    <x v="261"/>
    <x v="1"/>
    <d v="2024-11-25T00:00:00"/>
    <x v="0"/>
    <x v="1"/>
    <x v="1"/>
    <x v="1"/>
    <x v="1"/>
    <s v="No"/>
    <n v="0"/>
    <n v="0"/>
    <n v="5"/>
  </r>
  <r>
    <n v="3505"/>
    <x v="262"/>
    <x v="0"/>
    <d v="2024-11-26T00:00:00"/>
    <x v="1"/>
    <x v="0"/>
    <x v="0"/>
    <x v="0"/>
    <x v="0"/>
    <s v="Yes"/>
    <n v="20"/>
    <n v="20"/>
    <n v="45"/>
  </r>
  <r>
    <n v="3506"/>
    <x v="263"/>
    <x v="2"/>
    <d v="2024-11-27T00:00:00"/>
    <x v="0"/>
    <x v="2"/>
    <x v="2"/>
    <x v="1"/>
    <x v="1"/>
    <s v="Yes"/>
    <n v="20"/>
    <n v="15"/>
    <n v="15"/>
  </r>
  <r>
    <n v="3507"/>
    <x v="264"/>
    <x v="1"/>
    <d v="2024-11-28T00:00:00"/>
    <x v="1"/>
    <x v="1"/>
    <x v="0"/>
    <x v="1"/>
    <x v="1"/>
    <s v="No"/>
    <n v="0"/>
    <n v="1"/>
    <n v="4"/>
  </r>
  <r>
    <n v="3508"/>
    <x v="265"/>
    <x v="0"/>
    <d v="2024-11-29T00:00:00"/>
    <x v="0"/>
    <x v="0"/>
    <x v="1"/>
    <x v="0"/>
    <x v="0"/>
    <s v="Yes"/>
    <n v="20"/>
    <n v="3"/>
    <n v="62"/>
  </r>
  <r>
    <n v="3509"/>
    <x v="266"/>
    <x v="2"/>
    <d v="2024-11-30T00:00:00"/>
    <x v="1"/>
    <x v="2"/>
    <x v="0"/>
    <x v="1"/>
    <x v="1"/>
    <s v="Yes"/>
    <n v="20"/>
    <n v="10"/>
    <n v="20"/>
  </r>
  <r>
    <n v="3510"/>
    <x v="267"/>
    <x v="1"/>
    <d v="2024-12-01T00:00:00"/>
    <x v="0"/>
    <x v="1"/>
    <x v="2"/>
    <x v="1"/>
    <x v="1"/>
    <s v="No"/>
    <n v="0"/>
    <n v="0"/>
    <n v="5"/>
  </r>
  <r>
    <n v="3511"/>
    <x v="268"/>
    <x v="0"/>
    <d v="2024-12-02T00:00:00"/>
    <x v="1"/>
    <x v="0"/>
    <x v="0"/>
    <x v="0"/>
    <x v="0"/>
    <s v="Yes"/>
    <n v="20"/>
    <n v="15"/>
    <n v="50"/>
  </r>
  <r>
    <n v="3512"/>
    <x v="269"/>
    <x v="2"/>
    <d v="2024-12-03T00:00:00"/>
    <x v="0"/>
    <x v="2"/>
    <x v="1"/>
    <x v="1"/>
    <x v="1"/>
    <s v="Yes"/>
    <n v="20"/>
    <n v="15"/>
    <n v="15"/>
  </r>
  <r>
    <n v="3513"/>
    <x v="270"/>
    <x v="1"/>
    <d v="2024-12-04T00:00:00"/>
    <x v="1"/>
    <x v="1"/>
    <x v="0"/>
    <x v="1"/>
    <x v="1"/>
    <s v="No"/>
    <n v="0"/>
    <n v="1"/>
    <n v="4"/>
  </r>
  <r>
    <n v="3514"/>
    <x v="271"/>
    <x v="0"/>
    <d v="2024-12-05T00:00:00"/>
    <x v="0"/>
    <x v="0"/>
    <x v="2"/>
    <x v="0"/>
    <x v="0"/>
    <s v="Yes"/>
    <n v="20"/>
    <n v="7"/>
    <n v="58"/>
  </r>
  <r>
    <n v="3515"/>
    <x v="130"/>
    <x v="2"/>
    <d v="2024-12-06T00:00:00"/>
    <x v="1"/>
    <x v="2"/>
    <x v="0"/>
    <x v="1"/>
    <x v="1"/>
    <s v="Yes"/>
    <n v="20"/>
    <n v="10"/>
    <n v="20"/>
  </r>
  <r>
    <n v="3516"/>
    <x v="131"/>
    <x v="1"/>
    <d v="2024-12-07T00:00:00"/>
    <x v="0"/>
    <x v="1"/>
    <x v="1"/>
    <x v="1"/>
    <x v="1"/>
    <s v="No"/>
    <n v="0"/>
    <n v="0"/>
    <n v="5"/>
  </r>
  <r>
    <n v="3517"/>
    <x v="181"/>
    <x v="0"/>
    <d v="2024-12-08T00:00:00"/>
    <x v="1"/>
    <x v="0"/>
    <x v="0"/>
    <x v="0"/>
    <x v="0"/>
    <s v="Yes"/>
    <n v="20"/>
    <n v="20"/>
    <n v="45"/>
  </r>
  <r>
    <n v="3518"/>
    <x v="272"/>
    <x v="2"/>
    <d v="2024-12-09T00:00:00"/>
    <x v="0"/>
    <x v="2"/>
    <x v="2"/>
    <x v="1"/>
    <x v="1"/>
    <s v="Yes"/>
    <n v="20"/>
    <n v="12"/>
    <n v="18"/>
  </r>
  <r>
    <n v="3519"/>
    <x v="273"/>
    <x v="1"/>
    <d v="2024-12-10T00:00:00"/>
    <x v="1"/>
    <x v="1"/>
    <x v="0"/>
    <x v="1"/>
    <x v="1"/>
    <s v="No"/>
    <n v="0"/>
    <n v="2"/>
    <n v="3"/>
  </r>
  <r>
    <n v="3520"/>
    <x v="274"/>
    <x v="0"/>
    <d v="2024-12-11T00:00:00"/>
    <x v="0"/>
    <x v="0"/>
    <x v="1"/>
    <x v="0"/>
    <x v="0"/>
    <s v="Yes"/>
    <n v="20"/>
    <n v="5"/>
    <n v="60"/>
  </r>
  <r>
    <n v="3521"/>
    <x v="275"/>
    <x v="2"/>
    <d v="2024-12-12T00:00:00"/>
    <x v="1"/>
    <x v="2"/>
    <x v="0"/>
    <x v="1"/>
    <x v="1"/>
    <s v="Yes"/>
    <n v="20"/>
    <n v="10"/>
    <n v="20"/>
  </r>
  <r>
    <n v="3522"/>
    <x v="276"/>
    <x v="1"/>
    <d v="2024-12-13T00:00:00"/>
    <x v="0"/>
    <x v="1"/>
    <x v="2"/>
    <x v="1"/>
    <x v="1"/>
    <s v="No"/>
    <n v="0"/>
    <n v="0"/>
    <n v="5"/>
  </r>
  <r>
    <n v="3523"/>
    <x v="277"/>
    <x v="0"/>
    <d v="2024-12-14T00:00:00"/>
    <x v="1"/>
    <x v="0"/>
    <x v="0"/>
    <x v="0"/>
    <x v="0"/>
    <s v="Yes"/>
    <n v="20"/>
    <n v="3"/>
    <n v="62"/>
  </r>
  <r>
    <n v="3524"/>
    <x v="278"/>
    <x v="2"/>
    <d v="2024-12-15T00:00:00"/>
    <x v="0"/>
    <x v="2"/>
    <x v="1"/>
    <x v="1"/>
    <x v="1"/>
    <s v="Yes"/>
    <n v="20"/>
    <n v="15"/>
    <n v="15"/>
  </r>
  <r>
    <n v="3525"/>
    <x v="279"/>
    <x v="1"/>
    <d v="2024-12-16T00:00:00"/>
    <x v="1"/>
    <x v="1"/>
    <x v="0"/>
    <x v="1"/>
    <x v="1"/>
    <s v="No"/>
    <n v="0"/>
    <n v="1"/>
    <n v="4"/>
  </r>
  <r>
    <m/>
    <x v="280"/>
    <x v="3"/>
    <m/>
    <x v="2"/>
    <x v="3"/>
    <x v="3"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2BD24-07B0-4EA4-8EA0-90C620AA028A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8:B32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164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09F16-8F74-4D24-88F8-46E67758722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8:B22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9089B-DE76-4776-8A29-1B8ABD15EA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8:B11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164"/>
  </dataFields>
  <formats count="1">
    <format dxfId="4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E04D69-D7CB-40CC-B63A-9EB02DE6C7C7}" sourceName="Subscription Type">
  <pivotTables>
    <pivotTable tabId="3" name="Tabela dinâmica1"/>
    <pivotTable tabId="3" name="Tabela dinâmica6"/>
    <pivotTable tabId="3" name="Tabela dinâmica7"/>
  </pivotTables>
  <data>
    <tabular pivotCacheId="1637450734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1E6995E-67F1-41F4-9E9B-9ADA00CE65F3}" cache="SegmentaçãodeDados_Subscription_Type" caption="Subscription Type" style="Estilo de Segmentação de Dados 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No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D669C6-02B1-4528-96CA-36522B9033C1}" name="Tabela3" displayName="Tabela3" ref="A3:M74" totalsRowShown="0">
  <autoFilter ref="A3:M74" xr:uid="{10D669C6-02B1-4528-96CA-36522B9033C1}"/>
  <tableColumns count="13">
    <tableColumn id="1" xr3:uid="{87E6D200-A866-46F8-97F2-C1F1C1FB3A73}" name="Subscriber ID"/>
    <tableColumn id="2" xr3:uid="{42FDE592-70CC-41E4-BB59-A5CDB816BD3F}" name="Name"/>
    <tableColumn id="3" xr3:uid="{9ADC2F9E-142B-4366-8572-5F0C5DE58269}" name="Plan"/>
    <tableColumn id="4" xr3:uid="{32F12B3C-836D-451B-95EB-65EBBFA80902}" name="Start Date" dataDxfId="5"/>
    <tableColumn id="5" xr3:uid="{D63BF48D-CBC9-4B7F-884A-1978F410A262}" name="Auto Renewal"/>
    <tableColumn id="6" xr3:uid="{8C6E61DB-A1F0-4DE9-B633-0BFB28D41D65}" name="Subscription Price"/>
    <tableColumn id="7" xr3:uid="{4AF17A01-E9DF-4D24-B6FA-D9ADEA6CD3F2}" name="Subscription Type"/>
    <tableColumn id="8" xr3:uid="{4958AAB6-D55F-4CB6-8675-9C7AA2075EC5}" name="EA Play Season Pass"/>
    <tableColumn id="9" xr3:uid="{54E0BA7C-3C7F-4D8D-A645-7EEC677E775E}" name="EA Play Season Pass_x000a_Price"/>
    <tableColumn id="10" xr3:uid="{8D742703-C83D-496D-AD4C-4A6D5781B01E}" name="Minecraft Season Pass"/>
    <tableColumn id="11" xr3:uid="{9F2E81A1-EFA9-44DD-AFE0-3B9F106DF477}" name="Minecraft Season Pass Price"/>
    <tableColumn id="12" xr3:uid="{62361007-6ABE-442B-A140-F58A75A325E1}" name="Coupon Value"/>
    <tableColumn id="13" xr3:uid="{BB002A79-807F-43E9-9CAC-B631BF31D4EA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9" tint="-0.249977111117893"/>
  </sheetPr>
  <dimension ref="B3:P21"/>
  <sheetViews>
    <sheetView showGridLines="0" topLeftCell="A9" zoomScaleNormal="100" workbookViewId="0">
      <selection activeCell="W16" sqref="W1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9" tint="0.39997558519241921"/>
  </sheetPr>
  <dimension ref="A1:M296"/>
  <sheetViews>
    <sheetView topLeftCell="A164" zoomScale="90" zoomScaleNormal="90" workbookViewId="0">
      <selection activeCell="W16" sqref="W1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style="14" bestFit="1" customWidth="1"/>
    <col min="13" max="13" width="10.5546875" style="14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15" t="s">
        <v>32</v>
      </c>
      <c r="M1" s="15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6">
        <v>5</v>
      </c>
      <c r="M2" s="16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6">
        <v>3</v>
      </c>
      <c r="M5" s="16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6">
        <v>10</v>
      </c>
      <c r="M8" s="16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6">
        <v>5</v>
      </c>
      <c r="M10" s="16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6">
        <v>20</v>
      </c>
      <c r="M13" s="16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6">
        <v>8</v>
      </c>
      <c r="M16" s="16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6">
        <v>7</v>
      </c>
      <c r="M19" s="16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6">
        <v>3</v>
      </c>
      <c r="M22" s="16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6">
        <v>20</v>
      </c>
      <c r="M25" s="16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6">
        <v>5</v>
      </c>
      <c r="M28" s="16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6">
        <v>7</v>
      </c>
      <c r="M31" s="16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6">
        <v>3</v>
      </c>
      <c r="M34" s="16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6">
        <v>7</v>
      </c>
      <c r="M38" s="16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6">
        <v>15</v>
      </c>
      <c r="M41" s="16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6">
        <v>20</v>
      </c>
      <c r="M44" s="16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6">
        <v>5</v>
      </c>
      <c r="M47" s="16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6">
        <v>3</v>
      </c>
      <c r="M50" s="16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6">
        <v>7</v>
      </c>
      <c r="M53" s="16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6">
        <v>20</v>
      </c>
      <c r="M56" s="16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6">
        <v>3</v>
      </c>
      <c r="M59" s="16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6">
        <v>5</v>
      </c>
      <c r="M62" s="16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6">
        <v>20</v>
      </c>
      <c r="M65" s="16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6">
        <v>7</v>
      </c>
      <c r="M68" s="16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6">
        <v>15</v>
      </c>
      <c r="M71" s="16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6">
        <v>20</v>
      </c>
      <c r="M74" s="16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6">
        <v>5</v>
      </c>
      <c r="M77" s="16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6">
        <v>3</v>
      </c>
      <c r="M80" s="16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6">
        <v>7</v>
      </c>
      <c r="M83" s="16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6">
        <v>20</v>
      </c>
      <c r="M86" s="16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6">
        <v>3</v>
      </c>
      <c r="M89" s="16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6">
        <v>5</v>
      </c>
      <c r="M92" s="16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6">
        <v>20</v>
      </c>
      <c r="M95" s="16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6">
        <v>7</v>
      </c>
      <c r="M98" s="16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6">
        <v>15</v>
      </c>
      <c r="M101" s="16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6">
        <v>20</v>
      </c>
      <c r="M104" s="16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6">
        <v>7</v>
      </c>
      <c r="M108" s="16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6">
        <v>15</v>
      </c>
      <c r="M111" s="16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6">
        <v>20</v>
      </c>
      <c r="M114" s="16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6">
        <v>5</v>
      </c>
      <c r="M117" s="16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6">
        <v>3</v>
      </c>
      <c r="M120" s="16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6">
        <v>7</v>
      </c>
      <c r="M123" s="16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6">
        <v>20</v>
      </c>
      <c r="M126" s="16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6">
        <v>3</v>
      </c>
      <c r="M129" s="16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6">
        <v>15</v>
      </c>
      <c r="M132" s="16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6">
        <v>7</v>
      </c>
      <c r="M135" s="16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6">
        <v>7</v>
      </c>
      <c r="M138" s="16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6">
        <v>15</v>
      </c>
      <c r="M141" s="16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6">
        <v>20</v>
      </c>
      <c r="M144" s="16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6">
        <v>5</v>
      </c>
      <c r="M147" s="16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6">
        <v>3</v>
      </c>
      <c r="M150" s="16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6">
        <v>7</v>
      </c>
      <c r="M153" s="16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6">
        <v>20</v>
      </c>
      <c r="M156" s="16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6">
        <v>3</v>
      </c>
      <c r="M159" s="16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6">
        <v>15</v>
      </c>
      <c r="M162" s="16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6">
        <v>7</v>
      </c>
      <c r="M165" s="16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6">
        <v>20</v>
      </c>
      <c r="M168" s="16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6">
        <v>5</v>
      </c>
      <c r="M171" s="16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6">
        <v>3</v>
      </c>
      <c r="M174" s="16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6">
        <v>7</v>
      </c>
      <c r="M178" s="16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6">
        <v>15</v>
      </c>
      <c r="M181" s="16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6">
        <v>20</v>
      </c>
      <c r="M184" s="16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6">
        <v>5</v>
      </c>
      <c r="M187" s="16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6">
        <v>3</v>
      </c>
      <c r="M190" s="16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6">
        <v>7</v>
      </c>
      <c r="M193" s="16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6">
        <v>20</v>
      </c>
      <c r="M196" s="16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6">
        <v>3</v>
      </c>
      <c r="M199" s="16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6">
        <v>15</v>
      </c>
      <c r="M202" s="16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6">
        <v>7</v>
      </c>
      <c r="M205" s="16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6">
        <v>7</v>
      </c>
      <c r="M208" s="16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6">
        <v>15</v>
      </c>
      <c r="M211" s="16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6">
        <v>20</v>
      </c>
      <c r="M214" s="16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6">
        <v>5</v>
      </c>
      <c r="M217" s="16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6">
        <v>3</v>
      </c>
      <c r="M220" s="16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6">
        <v>7</v>
      </c>
      <c r="M223" s="16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6">
        <v>20</v>
      </c>
      <c r="M226" s="16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6">
        <v>3</v>
      </c>
      <c r="M229" s="16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6">
        <v>15</v>
      </c>
      <c r="M232" s="16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6">
        <v>7</v>
      </c>
      <c r="M235" s="16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6">
        <v>15</v>
      </c>
      <c r="M238" s="16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6">
        <v>5</v>
      </c>
      <c r="M241" s="16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6">
        <v>3</v>
      </c>
      <c r="M244" s="16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6">
        <v>7</v>
      </c>
      <c r="M247" s="16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6">
        <v>20</v>
      </c>
      <c r="M250" s="16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6">
        <v>3</v>
      </c>
      <c r="M253" s="16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6">
        <v>15</v>
      </c>
      <c r="M256" s="16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6">
        <v>7</v>
      </c>
      <c r="M258" s="16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6">
        <v>15</v>
      </c>
      <c r="M261" s="16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6">
        <v>20</v>
      </c>
      <c r="M264" s="16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6">
        <v>5</v>
      </c>
      <c r="M267" s="16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6">
        <v>3</v>
      </c>
      <c r="M270" s="16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6">
        <v>7</v>
      </c>
      <c r="M273" s="16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6">
        <v>20</v>
      </c>
      <c r="M276" s="16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6">
        <v>3</v>
      </c>
      <c r="M279" s="16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6">
        <v>15</v>
      </c>
      <c r="M282" s="16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6">
        <v>7</v>
      </c>
      <c r="M285" s="16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6">
        <v>20</v>
      </c>
      <c r="M288" s="16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6">
        <v>5</v>
      </c>
      <c r="M291" s="16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6">
        <v>3</v>
      </c>
      <c r="M294" s="16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C75D-F485-4ECE-8DC4-2CBC28620B74}">
  <dimension ref="A1:M74"/>
  <sheetViews>
    <sheetView workbookViewId="0">
      <selection activeCell="A3" sqref="A3:M74"/>
    </sheetView>
  </sheetViews>
  <sheetFormatPr defaultRowHeight="14.4" x14ac:dyDescent="0.3"/>
  <cols>
    <col min="1" max="1" width="14.44140625" bestFit="1" customWidth="1"/>
    <col min="2" max="2" width="16.218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9" t="s">
        <v>321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3232</v>
      </c>
      <c r="B4" t="s">
        <v>21</v>
      </c>
      <c r="C4" t="s">
        <v>22</v>
      </c>
      <c r="D4" s="18">
        <v>45306</v>
      </c>
      <c r="E4" t="s">
        <v>23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">
      <c r="A5">
        <v>3516</v>
      </c>
      <c r="B5" t="s">
        <v>160</v>
      </c>
      <c r="C5" t="s">
        <v>22</v>
      </c>
      <c r="D5" s="18">
        <v>45633</v>
      </c>
      <c r="E5" t="s">
        <v>19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">
      <c r="A6">
        <v>3504</v>
      </c>
      <c r="B6" t="s">
        <v>290</v>
      </c>
      <c r="C6" t="s">
        <v>22</v>
      </c>
      <c r="D6" s="18">
        <v>45621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">
      <c r="A7">
        <v>3238</v>
      </c>
      <c r="B7" t="s">
        <v>36</v>
      </c>
      <c r="C7" t="s">
        <v>22</v>
      </c>
      <c r="D7" s="18">
        <v>45355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 x14ac:dyDescent="0.3">
      <c r="A8">
        <v>3492</v>
      </c>
      <c r="B8" t="s">
        <v>279</v>
      </c>
      <c r="C8" t="s">
        <v>22</v>
      </c>
      <c r="D8" s="18">
        <v>45609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 x14ac:dyDescent="0.3">
      <c r="A9">
        <v>3478</v>
      </c>
      <c r="B9" t="s">
        <v>265</v>
      </c>
      <c r="C9" t="s">
        <v>22</v>
      </c>
      <c r="D9" s="18">
        <v>45595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">
      <c r="A10">
        <v>3466</v>
      </c>
      <c r="B10" t="s">
        <v>254</v>
      </c>
      <c r="C10" t="s">
        <v>22</v>
      </c>
      <c r="D10" s="18">
        <v>45583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">
      <c r="A11">
        <v>3250</v>
      </c>
      <c r="B11" t="s">
        <v>48</v>
      </c>
      <c r="C11" t="s">
        <v>22</v>
      </c>
      <c r="D11" s="18">
        <v>45367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">
      <c r="A12">
        <v>3454</v>
      </c>
      <c r="B12" t="s">
        <v>243</v>
      </c>
      <c r="C12" t="s">
        <v>22</v>
      </c>
      <c r="D12" s="18">
        <v>45571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 x14ac:dyDescent="0.3">
      <c r="A13">
        <v>3442</v>
      </c>
      <c r="B13" t="s">
        <v>234</v>
      </c>
      <c r="C13" t="s">
        <v>22</v>
      </c>
      <c r="D13" s="18">
        <v>45559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">
      <c r="A14">
        <v>3262</v>
      </c>
      <c r="B14" t="s">
        <v>60</v>
      </c>
      <c r="C14" t="s">
        <v>22</v>
      </c>
      <c r="D14" s="18">
        <v>45379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 x14ac:dyDescent="0.3">
      <c r="A15">
        <v>3424</v>
      </c>
      <c r="B15" t="s">
        <v>43</v>
      </c>
      <c r="C15" t="s">
        <v>22</v>
      </c>
      <c r="D15" s="18">
        <v>45541</v>
      </c>
      <c r="E15" t="s">
        <v>19</v>
      </c>
      <c r="F15">
        <v>5</v>
      </c>
      <c r="G15" t="s">
        <v>24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 x14ac:dyDescent="0.3">
      <c r="A16">
        <v>3412</v>
      </c>
      <c r="B16" t="s">
        <v>207</v>
      </c>
      <c r="C16" t="s">
        <v>22</v>
      </c>
      <c r="D16" s="18">
        <v>45529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 x14ac:dyDescent="0.3">
      <c r="A17">
        <v>3396</v>
      </c>
      <c r="B17" t="s">
        <v>192</v>
      </c>
      <c r="C17" t="s">
        <v>22</v>
      </c>
      <c r="D17" s="18">
        <v>45513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3272</v>
      </c>
      <c r="B18" t="s">
        <v>70</v>
      </c>
      <c r="C18" t="s">
        <v>22</v>
      </c>
      <c r="D18" s="18">
        <v>45389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 x14ac:dyDescent="0.3">
      <c r="A19">
        <v>3384</v>
      </c>
      <c r="B19" t="s">
        <v>181</v>
      </c>
      <c r="C19" t="s">
        <v>22</v>
      </c>
      <c r="D19" s="18">
        <v>45501</v>
      </c>
      <c r="E19" t="s">
        <v>19</v>
      </c>
      <c r="F19">
        <v>5</v>
      </c>
      <c r="G19" t="s">
        <v>24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 x14ac:dyDescent="0.3">
      <c r="A20">
        <v>3372</v>
      </c>
      <c r="B20" t="s">
        <v>169</v>
      </c>
      <c r="C20" t="s">
        <v>22</v>
      </c>
      <c r="D20" s="18">
        <v>45489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">
      <c r="A21">
        <v>3284</v>
      </c>
      <c r="B21" t="s">
        <v>82</v>
      </c>
      <c r="C21" t="s">
        <v>22</v>
      </c>
      <c r="D21" s="18">
        <v>45401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3354</v>
      </c>
      <c r="B22" t="s">
        <v>151</v>
      </c>
      <c r="C22" t="s">
        <v>22</v>
      </c>
      <c r="D22" s="18">
        <v>45471</v>
      </c>
      <c r="E22" t="s">
        <v>19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3">
      <c r="A23">
        <v>3342</v>
      </c>
      <c r="B23" t="s">
        <v>140</v>
      </c>
      <c r="C23" t="s">
        <v>22</v>
      </c>
      <c r="D23" s="18">
        <v>45459</v>
      </c>
      <c r="E23" t="s">
        <v>19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">
      <c r="A24">
        <v>3332</v>
      </c>
      <c r="B24" t="s">
        <v>130</v>
      </c>
      <c r="C24" t="s">
        <v>22</v>
      </c>
      <c r="D24" s="18">
        <v>45449</v>
      </c>
      <c r="E24" t="s">
        <v>23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 x14ac:dyDescent="0.3">
      <c r="A25">
        <v>3326</v>
      </c>
      <c r="B25" t="s">
        <v>124</v>
      </c>
      <c r="C25" t="s">
        <v>22</v>
      </c>
      <c r="D25" s="18">
        <v>45443</v>
      </c>
      <c r="E25" t="s">
        <v>23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">
      <c r="A26">
        <v>3314</v>
      </c>
      <c r="B26" t="s">
        <v>112</v>
      </c>
      <c r="C26" t="s">
        <v>22</v>
      </c>
      <c r="D26" s="18">
        <v>45431</v>
      </c>
      <c r="E26" t="s">
        <v>23</v>
      </c>
      <c r="F26">
        <v>5</v>
      </c>
      <c r="G26" t="s">
        <v>24</v>
      </c>
      <c r="H26" t="s">
        <v>23</v>
      </c>
      <c r="I26" t="s">
        <v>311</v>
      </c>
      <c r="J26" t="s">
        <v>23</v>
      </c>
      <c r="K26">
        <v>0</v>
      </c>
      <c r="L26">
        <v>0</v>
      </c>
      <c r="M26">
        <v>5</v>
      </c>
    </row>
    <row r="27" spans="1:13" x14ac:dyDescent="0.3">
      <c r="A27">
        <v>3302</v>
      </c>
      <c r="B27" t="s">
        <v>100</v>
      </c>
      <c r="C27" t="s">
        <v>22</v>
      </c>
      <c r="D27" s="18">
        <v>45419</v>
      </c>
      <c r="E27" t="s">
        <v>23</v>
      </c>
      <c r="F27">
        <v>5</v>
      </c>
      <c r="G27" t="s">
        <v>24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 x14ac:dyDescent="0.3">
      <c r="A28">
        <v>3524</v>
      </c>
      <c r="B28" t="s">
        <v>307</v>
      </c>
      <c r="C28" t="s">
        <v>26</v>
      </c>
      <c r="D28" s="18">
        <v>45641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15</v>
      </c>
      <c r="M28">
        <v>15</v>
      </c>
    </row>
    <row r="29" spans="1:13" x14ac:dyDescent="0.3">
      <c r="A29">
        <v>3512</v>
      </c>
      <c r="B29" t="s">
        <v>298</v>
      </c>
      <c r="C29" t="s">
        <v>26</v>
      </c>
      <c r="D29" s="18">
        <v>45629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15</v>
      </c>
      <c r="M29">
        <v>15</v>
      </c>
    </row>
    <row r="30" spans="1:13" x14ac:dyDescent="0.3">
      <c r="A30">
        <v>3500</v>
      </c>
      <c r="B30" t="s">
        <v>287</v>
      </c>
      <c r="C30" t="s">
        <v>26</v>
      </c>
      <c r="D30" s="18">
        <v>45617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15</v>
      </c>
      <c r="M30">
        <v>15</v>
      </c>
    </row>
    <row r="31" spans="1:13" x14ac:dyDescent="0.3">
      <c r="A31">
        <v>3488</v>
      </c>
      <c r="B31" t="s">
        <v>275</v>
      </c>
      <c r="C31" t="s">
        <v>26</v>
      </c>
      <c r="D31" s="18">
        <v>45605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10</v>
      </c>
      <c r="M31">
        <v>20</v>
      </c>
    </row>
    <row r="32" spans="1:13" x14ac:dyDescent="0.3">
      <c r="A32">
        <v>3246</v>
      </c>
      <c r="B32" t="s">
        <v>44</v>
      </c>
      <c r="C32" t="s">
        <v>26</v>
      </c>
      <c r="D32" s="18">
        <v>45363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 x14ac:dyDescent="0.3">
      <c r="A33">
        <v>3474</v>
      </c>
      <c r="B33" t="s">
        <v>261</v>
      </c>
      <c r="C33" t="s">
        <v>26</v>
      </c>
      <c r="D33" s="18">
        <v>45591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15</v>
      </c>
      <c r="M33">
        <v>15</v>
      </c>
    </row>
    <row r="34" spans="1:13" x14ac:dyDescent="0.3">
      <c r="A34">
        <v>3462</v>
      </c>
      <c r="B34" t="s">
        <v>250</v>
      </c>
      <c r="C34" t="s">
        <v>26</v>
      </c>
      <c r="D34" s="18">
        <v>45579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">
      <c r="A35">
        <v>3450</v>
      </c>
      <c r="B35" t="s">
        <v>241</v>
      </c>
      <c r="C35" t="s">
        <v>26</v>
      </c>
      <c r="D35" s="18">
        <v>45567</v>
      </c>
      <c r="E35" t="s">
        <v>19</v>
      </c>
      <c r="F35">
        <v>10</v>
      </c>
      <c r="G35" t="s">
        <v>24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 x14ac:dyDescent="0.3">
      <c r="A36">
        <v>3258</v>
      </c>
      <c r="B36" t="s">
        <v>56</v>
      </c>
      <c r="C36" t="s">
        <v>26</v>
      </c>
      <c r="D36" s="18">
        <v>45375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 x14ac:dyDescent="0.3">
      <c r="A37">
        <v>3438</v>
      </c>
      <c r="B37" t="s">
        <v>230</v>
      </c>
      <c r="C37" t="s">
        <v>26</v>
      </c>
      <c r="D37" s="18">
        <v>45555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10</v>
      </c>
      <c r="M37">
        <v>20</v>
      </c>
    </row>
    <row r="38" spans="1:13" x14ac:dyDescent="0.3">
      <c r="A38">
        <v>3432</v>
      </c>
      <c r="B38" t="s">
        <v>224</v>
      </c>
      <c r="C38" t="s">
        <v>26</v>
      </c>
      <c r="D38" s="18">
        <v>45549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 x14ac:dyDescent="0.3">
      <c r="A39">
        <v>3420</v>
      </c>
      <c r="B39" t="s">
        <v>215</v>
      </c>
      <c r="C39" t="s">
        <v>26</v>
      </c>
      <c r="D39" s="18">
        <v>45537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 x14ac:dyDescent="0.3">
      <c r="A40">
        <v>3408</v>
      </c>
      <c r="B40" t="s">
        <v>203</v>
      </c>
      <c r="C40" t="s">
        <v>26</v>
      </c>
      <c r="D40" s="18">
        <v>45525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10</v>
      </c>
      <c r="M40">
        <v>20</v>
      </c>
    </row>
    <row r="41" spans="1:13" x14ac:dyDescent="0.3">
      <c r="A41">
        <v>3268</v>
      </c>
      <c r="B41" t="s">
        <v>66</v>
      </c>
      <c r="C41" t="s">
        <v>26</v>
      </c>
      <c r="D41" s="18">
        <v>45385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10</v>
      </c>
      <c r="M41">
        <v>20</v>
      </c>
    </row>
    <row r="42" spans="1:13" x14ac:dyDescent="0.3">
      <c r="A42">
        <v>3404</v>
      </c>
      <c r="B42" t="s">
        <v>199</v>
      </c>
      <c r="C42" t="s">
        <v>26</v>
      </c>
      <c r="D42" s="18">
        <v>45521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3">
      <c r="A43">
        <v>3392</v>
      </c>
      <c r="B43" t="s">
        <v>188</v>
      </c>
      <c r="C43" t="s">
        <v>26</v>
      </c>
      <c r="D43" s="18">
        <v>45509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">
      <c r="A44">
        <v>3380</v>
      </c>
      <c r="B44" t="s">
        <v>177</v>
      </c>
      <c r="C44" t="s">
        <v>26</v>
      </c>
      <c r="D44" s="18">
        <v>45497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 x14ac:dyDescent="0.3">
      <c r="A45">
        <v>3280</v>
      </c>
      <c r="B45" t="s">
        <v>78</v>
      </c>
      <c r="C45" t="s">
        <v>26</v>
      </c>
      <c r="D45" s="18">
        <v>45397</v>
      </c>
      <c r="E45" t="s">
        <v>19</v>
      </c>
      <c r="F45">
        <v>10</v>
      </c>
      <c r="G45" t="s">
        <v>24</v>
      </c>
      <c r="H45" t="s">
        <v>23</v>
      </c>
      <c r="I45" t="s">
        <v>311</v>
      </c>
      <c r="J45" t="s">
        <v>19</v>
      </c>
      <c r="K45">
        <v>20</v>
      </c>
      <c r="L45">
        <v>15</v>
      </c>
      <c r="M45">
        <v>15</v>
      </c>
    </row>
    <row r="46" spans="1:13" x14ac:dyDescent="0.3">
      <c r="A46">
        <v>3368</v>
      </c>
      <c r="B46" t="s">
        <v>165</v>
      </c>
      <c r="C46" t="s">
        <v>26</v>
      </c>
      <c r="D46" s="18">
        <v>45485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10</v>
      </c>
      <c r="M46">
        <v>20</v>
      </c>
    </row>
    <row r="47" spans="1:13" x14ac:dyDescent="0.3">
      <c r="A47">
        <v>3362</v>
      </c>
      <c r="B47" t="s">
        <v>159</v>
      </c>
      <c r="C47" t="s">
        <v>26</v>
      </c>
      <c r="D47" s="18">
        <v>45479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">
      <c r="A48">
        <v>3350</v>
      </c>
      <c r="B48" t="s">
        <v>147</v>
      </c>
      <c r="C48" t="s">
        <v>26</v>
      </c>
      <c r="D48" s="18">
        <v>45467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">
      <c r="A49">
        <v>3338</v>
      </c>
      <c r="B49" t="s">
        <v>136</v>
      </c>
      <c r="C49" t="s">
        <v>26</v>
      </c>
      <c r="D49" s="18">
        <v>45455</v>
      </c>
      <c r="E49" t="s">
        <v>19</v>
      </c>
      <c r="F49">
        <v>10</v>
      </c>
      <c r="G49" t="s">
        <v>24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 x14ac:dyDescent="0.3">
      <c r="A50">
        <v>3292</v>
      </c>
      <c r="B50" t="s">
        <v>90</v>
      </c>
      <c r="C50" t="s">
        <v>26</v>
      </c>
      <c r="D50" s="18">
        <v>45409</v>
      </c>
      <c r="E50" t="s">
        <v>19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3">
      <c r="A51">
        <v>3328</v>
      </c>
      <c r="B51" t="s">
        <v>126</v>
      </c>
      <c r="C51" t="s">
        <v>26</v>
      </c>
      <c r="D51" s="18">
        <v>45445</v>
      </c>
      <c r="E51" t="s">
        <v>23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 x14ac:dyDescent="0.3">
      <c r="A52">
        <v>3322</v>
      </c>
      <c r="B52" t="s">
        <v>120</v>
      </c>
      <c r="C52" t="s">
        <v>26</v>
      </c>
      <c r="D52" s="18">
        <v>45439</v>
      </c>
      <c r="E52" t="s">
        <v>23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 x14ac:dyDescent="0.3">
      <c r="A53">
        <v>3298</v>
      </c>
      <c r="B53" t="s">
        <v>96</v>
      </c>
      <c r="C53" t="s">
        <v>26</v>
      </c>
      <c r="D53" s="18">
        <v>45415</v>
      </c>
      <c r="E53" t="s">
        <v>23</v>
      </c>
      <c r="F53">
        <v>10</v>
      </c>
      <c r="G53" t="s">
        <v>24</v>
      </c>
      <c r="H53" t="s">
        <v>23</v>
      </c>
      <c r="I53" t="s">
        <v>311</v>
      </c>
      <c r="J53" t="s">
        <v>19</v>
      </c>
      <c r="K53">
        <v>20</v>
      </c>
      <c r="L53">
        <v>10</v>
      </c>
      <c r="M53">
        <v>20</v>
      </c>
    </row>
    <row r="54" spans="1:13" x14ac:dyDescent="0.3">
      <c r="A54">
        <v>3310</v>
      </c>
      <c r="B54" t="s">
        <v>108</v>
      </c>
      <c r="C54" t="s">
        <v>26</v>
      </c>
      <c r="D54" s="18">
        <v>45427</v>
      </c>
      <c r="E54" t="s">
        <v>23</v>
      </c>
      <c r="F54">
        <v>10</v>
      </c>
      <c r="G54" t="s">
        <v>24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">
      <c r="A55">
        <v>3520</v>
      </c>
      <c r="B55" t="s">
        <v>303</v>
      </c>
      <c r="C55" t="s">
        <v>18</v>
      </c>
      <c r="D55" s="18">
        <v>45637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5</v>
      </c>
      <c r="M55">
        <v>60</v>
      </c>
    </row>
    <row r="56" spans="1:13" x14ac:dyDescent="0.3">
      <c r="A56">
        <v>3508</v>
      </c>
      <c r="B56" t="s">
        <v>294</v>
      </c>
      <c r="C56" t="s">
        <v>18</v>
      </c>
      <c r="D56" s="18">
        <v>45625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3</v>
      </c>
      <c r="M56">
        <v>62</v>
      </c>
    </row>
    <row r="57" spans="1:13" x14ac:dyDescent="0.3">
      <c r="A57">
        <v>3496</v>
      </c>
      <c r="B57" t="s">
        <v>283</v>
      </c>
      <c r="C57" t="s">
        <v>18</v>
      </c>
      <c r="D57" s="18">
        <v>45613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5</v>
      </c>
      <c r="M57">
        <v>60</v>
      </c>
    </row>
    <row r="58" spans="1:13" x14ac:dyDescent="0.3">
      <c r="A58">
        <v>3242</v>
      </c>
      <c r="B58" t="s">
        <v>40</v>
      </c>
      <c r="C58" t="s">
        <v>18</v>
      </c>
      <c r="D58" s="18">
        <v>45359</v>
      </c>
      <c r="E58" t="s">
        <v>19</v>
      </c>
      <c r="F58">
        <v>15</v>
      </c>
      <c r="G58" t="s">
        <v>24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">
      <c r="A59">
        <v>3482</v>
      </c>
      <c r="B59" t="s">
        <v>269</v>
      </c>
      <c r="C59" t="s">
        <v>18</v>
      </c>
      <c r="D59" s="18">
        <v>45599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3</v>
      </c>
      <c r="M59">
        <v>62</v>
      </c>
    </row>
    <row r="60" spans="1:13" x14ac:dyDescent="0.3">
      <c r="A60">
        <v>3470</v>
      </c>
      <c r="B60" t="s">
        <v>258</v>
      </c>
      <c r="C60" t="s">
        <v>18</v>
      </c>
      <c r="D60" s="18">
        <v>45587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5</v>
      </c>
      <c r="M60">
        <v>60</v>
      </c>
    </row>
    <row r="61" spans="1:13" x14ac:dyDescent="0.3">
      <c r="A61">
        <v>3458</v>
      </c>
      <c r="B61" t="s">
        <v>247</v>
      </c>
      <c r="C61" t="s">
        <v>18</v>
      </c>
      <c r="D61" s="18">
        <v>45575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 x14ac:dyDescent="0.3">
      <c r="A62">
        <v>3254</v>
      </c>
      <c r="B62" t="s">
        <v>52</v>
      </c>
      <c r="C62" t="s">
        <v>18</v>
      </c>
      <c r="D62" s="18">
        <v>45371</v>
      </c>
      <c r="E62" t="s">
        <v>19</v>
      </c>
      <c r="F62">
        <v>15</v>
      </c>
      <c r="G62" t="s">
        <v>24</v>
      </c>
      <c r="H62" t="s">
        <v>19</v>
      </c>
      <c r="I62">
        <v>30</v>
      </c>
      <c r="J62" t="s">
        <v>19</v>
      </c>
      <c r="K62">
        <v>20</v>
      </c>
      <c r="L62">
        <v>20</v>
      </c>
      <c r="M62">
        <v>45</v>
      </c>
    </row>
    <row r="63" spans="1:13" x14ac:dyDescent="0.3">
      <c r="A63">
        <v>3446</v>
      </c>
      <c r="B63" t="s">
        <v>237</v>
      </c>
      <c r="C63" t="s">
        <v>18</v>
      </c>
      <c r="D63" s="18">
        <v>45563</v>
      </c>
      <c r="E63" t="s">
        <v>19</v>
      </c>
      <c r="F63">
        <v>15</v>
      </c>
      <c r="G63" t="s">
        <v>24</v>
      </c>
      <c r="H63" t="s">
        <v>19</v>
      </c>
      <c r="I63">
        <v>30</v>
      </c>
      <c r="J63" t="s">
        <v>19</v>
      </c>
      <c r="K63">
        <v>20</v>
      </c>
      <c r="L63">
        <v>5</v>
      </c>
      <c r="M63">
        <v>60</v>
      </c>
    </row>
    <row r="64" spans="1:13" x14ac:dyDescent="0.3">
      <c r="A64">
        <v>3428</v>
      </c>
      <c r="B64" t="s">
        <v>220</v>
      </c>
      <c r="C64" t="s">
        <v>18</v>
      </c>
      <c r="D64" s="18">
        <v>45545</v>
      </c>
      <c r="E64" t="s">
        <v>19</v>
      </c>
      <c r="F64">
        <v>15</v>
      </c>
      <c r="G64" t="s">
        <v>24</v>
      </c>
      <c r="H64" t="s">
        <v>19</v>
      </c>
      <c r="I64">
        <v>30</v>
      </c>
      <c r="J64" t="s">
        <v>19</v>
      </c>
      <c r="K64">
        <v>20</v>
      </c>
      <c r="L64">
        <v>3</v>
      </c>
      <c r="M64">
        <v>62</v>
      </c>
    </row>
    <row r="65" spans="1:13" x14ac:dyDescent="0.3">
      <c r="A65">
        <v>3416</v>
      </c>
      <c r="B65" t="s">
        <v>211</v>
      </c>
      <c r="C65" t="s">
        <v>18</v>
      </c>
      <c r="D65" s="18">
        <v>45533</v>
      </c>
      <c r="E65" t="s">
        <v>19</v>
      </c>
      <c r="F65">
        <v>15</v>
      </c>
      <c r="G65" t="s">
        <v>24</v>
      </c>
      <c r="H65" t="s">
        <v>19</v>
      </c>
      <c r="I65">
        <v>30</v>
      </c>
      <c r="J65" t="s">
        <v>19</v>
      </c>
      <c r="K65">
        <v>20</v>
      </c>
      <c r="L65">
        <v>5</v>
      </c>
      <c r="M65">
        <v>60</v>
      </c>
    </row>
    <row r="66" spans="1:13" x14ac:dyDescent="0.3">
      <c r="A66">
        <v>3400</v>
      </c>
      <c r="B66" t="s">
        <v>195</v>
      </c>
      <c r="C66" t="s">
        <v>18</v>
      </c>
      <c r="D66" s="18">
        <v>45517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 x14ac:dyDescent="0.3">
      <c r="A67">
        <v>3388</v>
      </c>
      <c r="B67" t="s">
        <v>185</v>
      </c>
      <c r="C67" t="s">
        <v>18</v>
      </c>
      <c r="D67" s="18">
        <v>45505</v>
      </c>
      <c r="E67" t="s">
        <v>19</v>
      </c>
      <c r="F67">
        <v>15</v>
      </c>
      <c r="G67" t="s">
        <v>24</v>
      </c>
      <c r="H67" t="s">
        <v>19</v>
      </c>
      <c r="I67">
        <v>30</v>
      </c>
      <c r="J67" t="s">
        <v>19</v>
      </c>
      <c r="K67">
        <v>20</v>
      </c>
      <c r="L67">
        <v>3</v>
      </c>
      <c r="M67">
        <v>62</v>
      </c>
    </row>
    <row r="68" spans="1:13" x14ac:dyDescent="0.3">
      <c r="A68">
        <v>3276</v>
      </c>
      <c r="B68" t="s">
        <v>74</v>
      </c>
      <c r="C68" t="s">
        <v>18</v>
      </c>
      <c r="D68" s="18">
        <v>45393</v>
      </c>
      <c r="E68" t="s">
        <v>19</v>
      </c>
      <c r="F68">
        <v>15</v>
      </c>
      <c r="G68" t="s">
        <v>24</v>
      </c>
      <c r="H68" t="s">
        <v>19</v>
      </c>
      <c r="I68">
        <v>30</v>
      </c>
      <c r="J68" t="s">
        <v>19</v>
      </c>
      <c r="K68">
        <v>20</v>
      </c>
      <c r="L68">
        <v>5</v>
      </c>
      <c r="M68">
        <v>60</v>
      </c>
    </row>
    <row r="69" spans="1:13" x14ac:dyDescent="0.3">
      <c r="A69">
        <v>3376</v>
      </c>
      <c r="B69" t="s">
        <v>173</v>
      </c>
      <c r="C69" t="s">
        <v>18</v>
      </c>
      <c r="D69" s="18">
        <v>45493</v>
      </c>
      <c r="E69" t="s">
        <v>19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5</v>
      </c>
      <c r="M69">
        <v>60</v>
      </c>
    </row>
    <row r="70" spans="1:13" x14ac:dyDescent="0.3">
      <c r="A70">
        <v>3358</v>
      </c>
      <c r="B70" t="s">
        <v>155</v>
      </c>
      <c r="C70" t="s">
        <v>18</v>
      </c>
      <c r="D70" s="18">
        <v>45475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3</v>
      </c>
      <c r="M70">
        <v>62</v>
      </c>
    </row>
    <row r="71" spans="1:13" x14ac:dyDescent="0.3">
      <c r="A71">
        <v>3346</v>
      </c>
      <c r="B71" t="s">
        <v>144</v>
      </c>
      <c r="C71" t="s">
        <v>18</v>
      </c>
      <c r="D71" s="18">
        <v>45463</v>
      </c>
      <c r="E71" t="s">
        <v>19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5</v>
      </c>
      <c r="M71">
        <v>60</v>
      </c>
    </row>
    <row r="72" spans="1:13" x14ac:dyDescent="0.3">
      <c r="A72">
        <v>3288</v>
      </c>
      <c r="B72" t="s">
        <v>86</v>
      </c>
      <c r="C72" t="s">
        <v>18</v>
      </c>
      <c r="D72" s="18">
        <v>45405</v>
      </c>
      <c r="E72" t="s">
        <v>19</v>
      </c>
      <c r="F72">
        <v>15</v>
      </c>
      <c r="G72" t="s">
        <v>24</v>
      </c>
      <c r="H72" t="s">
        <v>19</v>
      </c>
      <c r="I72">
        <v>30</v>
      </c>
      <c r="J72" t="s">
        <v>19</v>
      </c>
      <c r="K72">
        <v>20</v>
      </c>
      <c r="L72">
        <v>3</v>
      </c>
      <c r="M72">
        <v>62</v>
      </c>
    </row>
    <row r="73" spans="1:13" x14ac:dyDescent="0.3">
      <c r="A73">
        <v>3318</v>
      </c>
      <c r="B73" t="s">
        <v>116</v>
      </c>
      <c r="C73" t="s">
        <v>18</v>
      </c>
      <c r="D73" s="18">
        <v>45435</v>
      </c>
      <c r="E73" t="s">
        <v>23</v>
      </c>
      <c r="F73">
        <v>15</v>
      </c>
      <c r="G73" t="s">
        <v>24</v>
      </c>
      <c r="H73" t="s">
        <v>19</v>
      </c>
      <c r="I73">
        <v>30</v>
      </c>
      <c r="J73" t="s">
        <v>19</v>
      </c>
      <c r="K73">
        <v>20</v>
      </c>
      <c r="L73">
        <v>3</v>
      </c>
      <c r="M73">
        <v>62</v>
      </c>
    </row>
    <row r="74" spans="1:13" x14ac:dyDescent="0.3">
      <c r="A74">
        <v>3306</v>
      </c>
      <c r="B74" t="s">
        <v>104</v>
      </c>
      <c r="C74" t="s">
        <v>18</v>
      </c>
      <c r="D74" s="18">
        <v>45423</v>
      </c>
      <c r="E74" t="s">
        <v>23</v>
      </c>
      <c r="F74">
        <v>15</v>
      </c>
      <c r="G74" t="s">
        <v>24</v>
      </c>
      <c r="H74" t="s">
        <v>19</v>
      </c>
      <c r="I74">
        <v>30</v>
      </c>
      <c r="J74" t="s">
        <v>19</v>
      </c>
      <c r="K74">
        <v>20</v>
      </c>
      <c r="L74">
        <v>5</v>
      </c>
      <c r="M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9" tint="0.59999389629810485"/>
  </sheetPr>
  <dimension ref="A1:D32"/>
  <sheetViews>
    <sheetView showGridLines="0" topLeftCell="A7" workbookViewId="0">
      <selection activeCell="W16" sqref="W16"/>
    </sheetView>
  </sheetViews>
  <sheetFormatPr defaultRowHeight="14.4" x14ac:dyDescent="0.3"/>
  <cols>
    <col min="1" max="1" width="16.77734375" bestFit="1" customWidth="1"/>
    <col min="2" max="3" width="32.218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2" x14ac:dyDescent="0.3">
      <c r="A1" t="s">
        <v>313</v>
      </c>
    </row>
    <row r="2" spans="1:2" x14ac:dyDescent="0.3">
      <c r="A2" t="s">
        <v>315</v>
      </c>
    </row>
    <row r="3" spans="1:2" x14ac:dyDescent="0.3">
      <c r="A3" t="s">
        <v>314</v>
      </c>
    </row>
    <row r="6" spans="1:2" x14ac:dyDescent="0.3">
      <c r="A6" s="12" t="s">
        <v>16</v>
      </c>
      <c r="B6" t="s">
        <v>24</v>
      </c>
    </row>
    <row r="8" spans="1:2" x14ac:dyDescent="0.3">
      <c r="A8" s="12" t="s">
        <v>317</v>
      </c>
      <c r="B8" s="14" t="s">
        <v>316</v>
      </c>
    </row>
    <row r="9" spans="1:2" x14ac:dyDescent="0.3">
      <c r="A9" s="13" t="s">
        <v>23</v>
      </c>
      <c r="B9" s="14">
        <v>217</v>
      </c>
    </row>
    <row r="10" spans="1:2" x14ac:dyDescent="0.3">
      <c r="A10" s="13" t="s">
        <v>19</v>
      </c>
      <c r="B10" s="14">
        <v>1537</v>
      </c>
    </row>
    <row r="11" spans="1:2" x14ac:dyDescent="0.3">
      <c r="A11" s="13" t="s">
        <v>318</v>
      </c>
      <c r="B11" s="14">
        <v>1754</v>
      </c>
    </row>
    <row r="16" spans="1:2" x14ac:dyDescent="0.3">
      <c r="A16" s="12" t="s">
        <v>16</v>
      </c>
      <c r="B16" t="s">
        <v>24</v>
      </c>
    </row>
    <row r="18" spans="1:4" x14ac:dyDescent="0.3">
      <c r="A18" s="12" t="s">
        <v>317</v>
      </c>
      <c r="B18" s="14" t="s">
        <v>320</v>
      </c>
      <c r="D18" s="14">
        <f>GETPIVOTDATA("EA Play Season Pass
Price",C̳álculos!$A$18)</f>
        <v>600</v>
      </c>
    </row>
    <row r="19" spans="1:4" x14ac:dyDescent="0.3">
      <c r="A19" s="13" t="s">
        <v>22</v>
      </c>
      <c r="B19" s="14">
        <v>0</v>
      </c>
    </row>
    <row r="20" spans="1:4" x14ac:dyDescent="0.3">
      <c r="A20" s="13" t="s">
        <v>26</v>
      </c>
      <c r="B20" s="14">
        <v>0</v>
      </c>
    </row>
    <row r="21" spans="1:4" x14ac:dyDescent="0.3">
      <c r="A21" s="13" t="s">
        <v>18</v>
      </c>
      <c r="B21" s="14">
        <v>600</v>
      </c>
    </row>
    <row r="22" spans="1:4" x14ac:dyDescent="0.3">
      <c r="A22" s="13" t="s">
        <v>318</v>
      </c>
      <c r="B22" s="14">
        <v>600</v>
      </c>
    </row>
    <row r="23" spans="1:4" x14ac:dyDescent="0.3">
      <c r="D23" s="20"/>
    </row>
    <row r="26" spans="1:4" x14ac:dyDescent="0.3">
      <c r="A26" s="12" t="s">
        <v>16</v>
      </c>
      <c r="B26" t="s">
        <v>24</v>
      </c>
    </row>
    <row r="28" spans="1:4" x14ac:dyDescent="0.3">
      <c r="A28" s="12" t="s">
        <v>317</v>
      </c>
      <c r="B28" s="14" t="s">
        <v>322</v>
      </c>
    </row>
    <row r="29" spans="1:4" x14ac:dyDescent="0.3">
      <c r="A29" s="13" t="s">
        <v>22</v>
      </c>
      <c r="B29" s="14">
        <v>0</v>
      </c>
      <c r="D29" s="14">
        <f>GETPIVOTDATA("Minecraft Season Pass Price",$A$28)</f>
        <v>940</v>
      </c>
    </row>
    <row r="30" spans="1:4" x14ac:dyDescent="0.3">
      <c r="A30" s="13" t="s">
        <v>26</v>
      </c>
      <c r="B30" s="14">
        <v>540</v>
      </c>
    </row>
    <row r="31" spans="1:4" x14ac:dyDescent="0.3">
      <c r="A31" s="13" t="s">
        <v>18</v>
      </c>
      <c r="B31" s="14">
        <v>400</v>
      </c>
    </row>
    <row r="32" spans="1:4" x14ac:dyDescent="0.3">
      <c r="A32" s="13" t="s">
        <v>318</v>
      </c>
      <c r="B32" s="14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theme="9" tint="0.79998168889431442"/>
  </sheetPr>
  <dimension ref="A2:BY113"/>
  <sheetViews>
    <sheetView showGridLines="0" showRowColHeaders="0" tabSelected="1" zoomScale="70" zoomScaleNormal="70" workbookViewId="0">
      <selection activeCell="K14" sqref="K14"/>
    </sheetView>
  </sheetViews>
  <sheetFormatPr defaultRowHeight="14.4" x14ac:dyDescent="0.3"/>
  <cols>
    <col min="1" max="1" width="31.6640625" style="4" customWidth="1"/>
    <col min="2" max="2" width="3.5546875" customWidth="1"/>
    <col min="12" max="12" width="6.5546875" customWidth="1"/>
  </cols>
  <sheetData>
    <row r="2" spans="1:77" ht="39" customHeight="1" thickBot="1" x14ac:dyDescent="0.95">
      <c r="B2" s="23" t="s">
        <v>319</v>
      </c>
      <c r="C2" s="17"/>
      <c r="D2" s="17"/>
      <c r="E2" s="17"/>
      <c r="F2" s="17"/>
      <c r="G2" s="17"/>
      <c r="H2" s="17"/>
      <c r="I2" s="17"/>
      <c r="J2" s="17"/>
      <c r="K2" s="17"/>
      <c r="L2" s="17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</row>
    <row r="3" spans="1:77" ht="8.25" customHeight="1" thickTop="1" x14ac:dyDescent="0.9">
      <c r="B3" s="25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</row>
    <row r="4" spans="1:77" s="7" customFormat="1" ht="7.5" customHeight="1" x14ac:dyDescent="0.3">
      <c r="A4" s="4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</row>
    <row r="5" spans="1:77" s="7" customFormat="1" ht="10.5" customHeight="1" x14ac:dyDescent="0.3">
      <c r="A5" s="4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</row>
    <row r="6" spans="1:77" s="7" customFormat="1" ht="9.75" customHeight="1" x14ac:dyDescent="0.35">
      <c r="A6" s="4"/>
      <c r="C6" s="24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</row>
    <row r="7" spans="1:77" s="7" customFormat="1" ht="33" customHeight="1" x14ac:dyDescent="0.35">
      <c r="A7" s="4"/>
      <c r="C7" s="24" t="s">
        <v>323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</row>
    <row r="8" spans="1:77" s="7" customFormat="1" x14ac:dyDescent="0.3">
      <c r="A8" s="4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</row>
    <row r="9" spans="1:77" s="7" customFormat="1" x14ac:dyDescent="0.3">
      <c r="A9" s="4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</row>
    <row r="10" spans="1:77" s="7" customFormat="1" x14ac:dyDescent="0.3">
      <c r="A10" s="4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</row>
    <row r="11" spans="1:77" s="7" customFormat="1" x14ac:dyDescent="0.3">
      <c r="A11" s="4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</row>
    <row r="12" spans="1:77" s="7" customFormat="1" x14ac:dyDescent="0.3">
      <c r="A12" s="4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</row>
    <row r="13" spans="1:77" s="7" customFormat="1" x14ac:dyDescent="0.3">
      <c r="A13" s="4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</row>
    <row r="14" spans="1:77" s="7" customFormat="1" x14ac:dyDescent="0.3">
      <c r="A14" s="4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</row>
    <row r="15" spans="1:77" s="7" customFormat="1" x14ac:dyDescent="0.3">
      <c r="A15" s="4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</row>
    <row r="16" spans="1:77" s="7" customFormat="1" x14ac:dyDescent="0.3">
      <c r="A16" s="4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</row>
    <row r="17" spans="1:77" s="7" customFormat="1" x14ac:dyDescent="0.3">
      <c r="A17" s="4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</row>
    <row r="18" spans="1:77" s="7" customFormat="1" x14ac:dyDescent="0.3">
      <c r="A18" s="4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</row>
    <row r="19" spans="1:77" s="7" customFormat="1" x14ac:dyDescent="0.3">
      <c r="A19" s="4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</row>
    <row r="20" spans="1:77" s="7" customFormat="1" x14ac:dyDescent="0.3">
      <c r="A20" s="4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</row>
    <row r="21" spans="1:77" s="7" customFormat="1" x14ac:dyDescent="0.3">
      <c r="A21" s="4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</row>
    <row r="22" spans="1:77" s="7" customFormat="1" x14ac:dyDescent="0.3">
      <c r="A22" s="4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</row>
    <row r="23" spans="1:77" s="7" customFormat="1" x14ac:dyDescent="0.3">
      <c r="A23" s="4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</row>
    <row r="24" spans="1:77" s="7" customFormat="1" x14ac:dyDescent="0.3">
      <c r="A24" s="4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</row>
    <row r="25" spans="1:77" s="7" customFormat="1" x14ac:dyDescent="0.3">
      <c r="A25" s="4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</row>
    <row r="26" spans="1:77" s="7" customFormat="1" x14ac:dyDescent="0.3">
      <c r="A26" s="4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</row>
    <row r="27" spans="1:77" s="7" customFormat="1" x14ac:dyDescent="0.3">
      <c r="A27" s="4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</row>
    <row r="28" spans="1:77" s="7" customFormat="1" x14ac:dyDescent="0.3">
      <c r="A28" s="4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</row>
    <row r="29" spans="1:77" s="7" customFormat="1" x14ac:dyDescent="0.3">
      <c r="A29" s="4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</row>
    <row r="30" spans="1:77" s="7" customFormat="1" x14ac:dyDescent="0.3">
      <c r="A30" s="4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</row>
    <row r="31" spans="1:77" s="7" customFormat="1" x14ac:dyDescent="0.3">
      <c r="A31" s="4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</row>
    <row r="32" spans="1:77" s="7" customFormat="1" x14ac:dyDescent="0.3">
      <c r="A32" s="4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</row>
    <row r="33" spans="1:77" s="7" customFormat="1" x14ac:dyDescent="0.3">
      <c r="A33" s="4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</row>
    <row r="34" spans="1:77" s="7" customFormat="1" x14ac:dyDescent="0.3">
      <c r="A34" s="4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</row>
    <row r="35" spans="1:77" s="7" customFormat="1" x14ac:dyDescent="0.3">
      <c r="A35" s="4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</row>
    <row r="36" spans="1:77" s="7" customFormat="1" x14ac:dyDescent="0.3">
      <c r="A36" s="4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</row>
    <row r="37" spans="1:77" s="7" customFormat="1" x14ac:dyDescent="0.3">
      <c r="A37" s="4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</row>
    <row r="38" spans="1:77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</row>
    <row r="39" spans="1:77" x14ac:dyDescent="0.3">
      <c r="B39" s="2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</row>
    <row r="40" spans="1:77" x14ac:dyDescent="0.3">
      <c r="B40" s="2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</row>
    <row r="41" spans="1:77" x14ac:dyDescent="0.3">
      <c r="B41" s="2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</row>
    <row r="42" spans="1:77" x14ac:dyDescent="0.3">
      <c r="B42" s="2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</row>
    <row r="43" spans="1:77" x14ac:dyDescent="0.3">
      <c r="B43" s="2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</row>
    <row r="44" spans="1:77" x14ac:dyDescent="0.3">
      <c r="B44" s="2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</row>
    <row r="45" spans="1:77" x14ac:dyDescent="0.3">
      <c r="B45" s="2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</row>
    <row r="46" spans="1:77" x14ac:dyDescent="0.3">
      <c r="B46" s="2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</row>
    <row r="47" spans="1:77" x14ac:dyDescent="0.3">
      <c r="B47" s="2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77" x14ac:dyDescent="0.3">
      <c r="B48" s="2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30" x14ac:dyDescent="0.3">
      <c r="B49" s="2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30" x14ac:dyDescent="0.3">
      <c r="B50" s="2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30" x14ac:dyDescent="0.3">
      <c r="B51" s="21"/>
      <c r="C51" s="21"/>
      <c r="D51" s="2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30" x14ac:dyDescent="0.3">
      <c r="B52" s="21"/>
      <c r="C52" s="21"/>
      <c r="D52" s="2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30" x14ac:dyDescent="0.3">
      <c r="B53" s="2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30" x14ac:dyDescent="0.3">
      <c r="A54" s="22"/>
      <c r="B54" s="7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2:2" x14ac:dyDescent="0.3">
      <c r="B113" s="22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99a045-48e0-4f6f-868a-f4c8217638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32B221874AE42A8E839986DFD41F0" ma:contentTypeVersion="11" ma:contentTypeDescription="Crie um novo documento." ma:contentTypeScope="" ma:versionID="e25e71ccfcd4503dfc4d77c67714f916">
  <xsd:schema xmlns:xsd="http://www.w3.org/2001/XMLSchema" xmlns:xs="http://www.w3.org/2001/XMLSchema" xmlns:p="http://schemas.microsoft.com/office/2006/metadata/properties" xmlns:ns3="6999a045-48e0-4f6f-868a-f4c821763824" targetNamespace="http://schemas.microsoft.com/office/2006/metadata/properties" ma:root="true" ma:fieldsID="1152204cda2bc267f0fc1805135b8f23" ns3:_="">
    <xsd:import namespace="6999a045-48e0-4f6f-868a-f4c8217638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9a045-48e0-4f6f-868a-f4c8217638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6999a045-48e0-4f6f-868a-f4c821763824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1343A04-AD6F-47AB-AD94-B7C42E646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9a045-48e0-4f6f-868a-f4c8217638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GISELLY LUIZA ROCHA DE LIMA TADS040</cp:lastModifiedBy>
  <dcterms:created xsi:type="dcterms:W3CDTF">2024-12-19T13:13:10Z</dcterms:created>
  <dcterms:modified xsi:type="dcterms:W3CDTF">2026-01-05T01:01:39Z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0x01010050732B221874AE42A8E839986DFD41F0</vt:lpwstr>
  </property>
</Properties>
</file>